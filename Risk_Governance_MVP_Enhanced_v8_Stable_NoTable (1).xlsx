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Guide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Input_Form" sheetId="4" state="visible" r:id="rId4"/>
    <sheet xmlns:r="http://schemas.openxmlformats.org/officeDocument/2006/relationships" name="Risk_Register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Change_Log" sheetId="9" state="visible" r:id="rId9"/>
  </sheets>
  <definedNames>
    <definedName name="_xlnm._FilterDatabase" localSheetId="4" hidden="1">'Risk_Register'!$A$1:$T$1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111827"/>
    </font>
    <font>
      <b val="1"/>
      <color rgb="00FFFFFF"/>
    </font>
    <font>
      <color rgb="000000FF"/>
    </font>
    <font>
      <color rgb="00111827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8F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4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left" vertical="top" wrapText="1"/>
      <protection locked="0" hidden="0"/>
    </xf>
    <xf numFmtId="0" fontId="5" fillId="4" borderId="1" applyAlignment="1" applyProtection="1" pivotButton="0" quotePrefix="0" xfId="0">
      <alignment horizontal="left" vertical="top" wrapText="1"/>
      <protection locked="0" hidden="0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7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TRE_i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'Dashboard'!$D$5:$D$14</f>
            </numRef>
          </cat>
          <val>
            <numRef>
              <f>'Dashboard'!$E$5:$E$14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TRE_i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TRE_i by Domain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'Dashboard'!$A$12:$A$17</f>
            </numRef>
          </cat>
          <val>
            <numRef>
              <f>'Dashboard'!$B$12:$B$17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TRE_i by Erosion Flag</a:t>
            </a:r>
          </a:p>
        </rich>
      </tx>
    </title>
    <plotArea>
      <pieChart>
        <varyColors val="1"/>
        <ser>
          <idx val="0"/>
          <order val="0"/>
          <tx>
            <strRef>
              <f>'Dashboard'!I10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'Dashboard'!$H$11:$H$12</f>
            </numRef>
          </cat>
          <val>
            <numRef>
              <f>'Dashboard'!$I$11:$I$12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LR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'Scenarios'!$A$9:$A$12</f>
            </numRef>
          </cat>
          <val>
            <numRef>
              <f>'Scenarios'!$G$9:$G$12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TRE_i (Stable)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'Summary'!$C$13:$C$22</f>
            </numRef>
          </cat>
          <val>
            <numRef>
              <f>'Summary'!$E$13:$E$22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TRE_i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Field_Guide</author>
  </authors>
  <commentList>
    <comment ref="E1" authorId="0" shapeId="0">
      <text>
        <t>Per-cycle probability (0–1). Used with T to compute cumulative probability P_cum.</t>
      </text>
    </comment>
    <comment ref="F1" authorId="0" shapeId="0">
      <text>
        <t>Exposure duration / number of cycles (integer ≥1).</t>
      </text>
    </comment>
    <comment ref="G1" authorId="0" shapeId="0">
      <text>
        <t>Impact magnitude (unit consistent with A).</t>
      </text>
    </comment>
    <comment ref="H1" authorId="0" shapeId="0">
      <text>
        <t>Governance coverage (0–1). RE is multiplied by (1−C).</t>
      </text>
    </comment>
    <comment ref="I1" authorId="0" shapeId="0">
      <text>
        <t>Time pressure coefficient (&gt;0). 1 neutral; &gt;1 pressured; &lt;1 improved cadence.</t>
      </text>
    </comment>
    <comment ref="J1" authorId="0" shapeId="0">
      <text>
        <t>Context difficulty coefficient (&gt;0). 1 baseline; &gt;1 harder to govern.</t>
      </text>
    </comment>
    <comment ref="K1" authorId="0" shapeId="0">
      <text>
        <t>Optional override for type translation. Leave blank to use TF_default.</t>
      </text>
    </comment>
    <comment ref="R1" authorId="0" shapeId="0">
      <text>
        <t>E if escalating/compounding; N otherwise. Used for erosion rollups.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Risk Governance OS – Excel MVP (v8, Table-free / Stable)</t>
        </is>
      </c>
    </row>
    <row r="3">
      <c r="A3" s="2" t="inlineStr">
        <is>
          <t>What changed in v8</t>
        </is>
      </c>
    </row>
    <row r="4" ht="50" customHeight="1">
      <c r="A4" s="3" t="inlineStr">
        <is>
          <t>This version removes Excel 'Table' objects to prevent file corruption during iterative model evolution.
Functionality preserved: AB (Scenarios + TF default/override), CD (Erosion outputs + Summary), E (Field Guide + Input Form + Change Log + protections).</t>
        </is>
      </c>
    </row>
    <row r="6">
      <c r="A6" s="2" t="inlineStr">
        <is>
          <t>Core formulas</t>
        </is>
      </c>
    </row>
    <row r="7" ht="80" customHeight="1">
      <c r="A7" s="3" t="inlineStr">
        <is>
          <t>P_cum = 1 - (1 - P)^T
L_exp = P_cum × I
RE = L_exp × tau × TFi × (1 - C)
TRE_i = RE × TF_used
G = Σ TRE_i
LR = G / A
Scenario G_s = Σ [ L_exp × (tau×tau_mult) × (TFi×TFi_mult) × (1 - min(1,C×C_mult)) × TF_used ]</t>
        </is>
      </c>
    </row>
    <row r="10">
      <c r="A10" s="2" t="inlineStr">
        <is>
          <t>Backlog (future)</t>
        </is>
      </c>
    </row>
    <row r="11">
      <c r="A11" s="3" t="inlineStr">
        <is>
          <t>E+ (optional): stronger audit automation (requires VBA or external system), role-based access, and controlled submission workflow.
Sensitivity analysis dashboard (LR elasticity by parameter) and structured scenario library.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4" customWidth="1" min="3" max="3"/>
    <col width="44" customWidth="1" min="4" max="4"/>
    <col width="22" customWidth="1" min="5" max="5"/>
    <col width="22" customWidth="1" min="6" max="6"/>
  </cols>
  <sheetData>
    <row r="1">
      <c r="A1" s="1" t="inlineStr">
        <is>
          <t>Field Guide (What / Why / How to Fill)</t>
        </is>
      </c>
    </row>
    <row r="3">
      <c r="A3" s="3" t="inlineStr">
        <is>
          <t>Use this sheet as authoritative guidance for data entry and interpretation.</t>
        </is>
      </c>
    </row>
    <row r="5">
      <c r="A5" s="4" t="inlineStr">
        <is>
          <t>Field</t>
        </is>
      </c>
      <c r="B5" s="4" t="inlineStr">
        <is>
          <t>Purpose (What it is)</t>
        </is>
      </c>
      <c r="C5" s="4" t="inlineStr">
        <is>
          <t>Why it matters</t>
        </is>
      </c>
      <c r="D5" s="4" t="inlineStr">
        <is>
          <t>How to fill (practical guidance)</t>
        </is>
      </c>
      <c r="E5" s="4" t="inlineStr">
        <is>
          <t>Allowed / Typical Range</t>
        </is>
      </c>
      <c r="F5" s="4" t="inlineStr">
        <is>
          <t>Example</t>
        </is>
      </c>
    </row>
    <row r="6">
      <c r="A6" s="5" t="inlineStr">
        <is>
          <t>Risk_ID</t>
        </is>
      </c>
      <c r="B6" s="6" t="inlineStr">
        <is>
          <t>Unique identifier for a risk record</t>
        </is>
      </c>
      <c r="C6" s="6" t="inlineStr">
        <is>
          <t>Enables traceability and stable ranking/aggregation</t>
        </is>
      </c>
      <c r="D6" s="6" t="inlineStr">
        <is>
          <t>Use a short unique code. Do not reuse IDs across different risks.</t>
        </is>
      </c>
      <c r="E6" s="7" t="inlineStr">
        <is>
          <t>Text; unique</t>
        </is>
      </c>
      <c r="F6" s="7" t="inlineStr">
        <is>
          <t>R-SEC-001</t>
        </is>
      </c>
    </row>
    <row r="7">
      <c r="A7" s="5" t="inlineStr">
        <is>
          <t>Risk_Name</t>
        </is>
      </c>
      <c r="B7" s="6" t="inlineStr">
        <is>
          <t>Short name for the risk</t>
        </is>
      </c>
      <c r="C7" s="6" t="inlineStr">
        <is>
          <t>Used for Top-N outputs and executive communication</t>
        </is>
      </c>
      <c r="D7" s="6" t="inlineStr">
        <is>
          <t>Use a concise name. Avoid long sentences.</t>
        </is>
      </c>
      <c r="E7" s="7" t="inlineStr">
        <is>
          <t>Text</t>
        </is>
      </c>
      <c r="F7" s="7" t="inlineStr">
        <is>
          <t>Credential leakage</t>
        </is>
      </c>
    </row>
    <row r="8">
      <c r="A8" s="5" t="inlineStr">
        <is>
          <t>Domain</t>
        </is>
      </c>
      <c r="B8" s="6" t="inlineStr">
        <is>
          <t>Risk domain/category</t>
        </is>
      </c>
      <c r="C8" s="6" t="inlineStr">
        <is>
          <t>Drives default TF_i and domain composition reporting</t>
        </is>
      </c>
      <c r="D8" s="6" t="inlineStr">
        <is>
          <t>Select from dropdown. Maintain domain list in Setup.</t>
        </is>
      </c>
      <c r="E8" s="7" t="inlineStr">
        <is>
          <t>Dropdown</t>
        </is>
      </c>
      <c r="F8" s="7" t="inlineStr">
        <is>
          <t>Security</t>
        </is>
      </c>
    </row>
    <row r="9">
      <c r="A9" s="5" t="inlineStr">
        <is>
          <t>Description</t>
        </is>
      </c>
      <c r="B9" s="6" t="inlineStr">
        <is>
          <t>Narrative description/context</t>
        </is>
      </c>
      <c r="C9" s="6" t="inlineStr">
        <is>
          <t>Supports cross-domain translation and review</t>
        </is>
      </c>
      <c r="D9" s="6" t="inlineStr">
        <is>
          <t>2–5 lines: scenario, trigger, boundary, affected assets.</t>
        </is>
      </c>
      <c r="E9" s="7" t="inlineStr">
        <is>
          <t>Free text</t>
        </is>
      </c>
      <c r="F9" s="7" t="inlineStr">
        <is>
          <t>Leak via vendor VPN…</t>
        </is>
      </c>
    </row>
    <row r="10">
      <c r="A10" s="5" t="inlineStr">
        <is>
          <t>P</t>
        </is>
      </c>
      <c r="B10" s="6" t="inlineStr">
        <is>
          <t>Per-cycle probability</t>
        </is>
      </c>
      <c r="C10" s="6" t="inlineStr">
        <is>
          <t>Feeds cumulative probability over T</t>
        </is>
      </c>
      <c r="D10" s="6" t="inlineStr">
        <is>
          <t>Enter 0–1 for one cycle. If unknown, estimate with notes.</t>
        </is>
      </c>
      <c r="E10" s="7" t="inlineStr">
        <is>
          <t>0–1</t>
        </is>
      </c>
      <c r="F10" s="7" t="inlineStr">
        <is>
          <t>0.05</t>
        </is>
      </c>
    </row>
    <row r="11">
      <c r="A11" s="5" t="inlineStr">
        <is>
          <t>T</t>
        </is>
      </c>
      <c r="B11" s="6" t="inlineStr">
        <is>
          <t>Exposure duration / cycles</t>
        </is>
      </c>
      <c r="C11" s="6" t="inlineStr">
        <is>
          <t>Controls accumulation via P_cum</t>
        </is>
      </c>
      <c r="D11" s="6" t="inlineStr">
        <is>
          <t>Integer ≥1 representing number of cycles/time units.</t>
        </is>
      </c>
      <c r="E11" s="7" t="inlineStr">
        <is>
          <t>Integer ≥1</t>
        </is>
      </c>
      <c r="F11" s="7" t="inlineStr">
        <is>
          <t>12</t>
        </is>
      </c>
    </row>
    <row r="12">
      <c r="A12" s="5" t="inlineStr">
        <is>
          <t>I</t>
        </is>
      </c>
      <c r="B12" s="6" t="inlineStr">
        <is>
          <t>Impact magnitude (your unit)</t>
        </is>
      </c>
      <c r="C12" s="6" t="inlineStr">
        <is>
          <t>With P_cum forms L_exp</t>
        </is>
      </c>
      <c r="D12" s="6" t="inlineStr">
        <is>
          <t>Use same unit as capacity A (cost, points, normalized severity).</t>
        </is>
      </c>
      <c r="E12" s="7" t="inlineStr">
        <is>
          <t>≥0</t>
        </is>
      </c>
      <c r="F12" s="7" t="inlineStr">
        <is>
          <t>250</t>
        </is>
      </c>
    </row>
    <row r="13">
      <c r="A13" s="5" t="inlineStr">
        <is>
          <t>C</t>
        </is>
      </c>
      <c r="B13" s="6" t="inlineStr">
        <is>
          <t>Governance coverage</t>
        </is>
      </c>
      <c r="C13" s="6" t="inlineStr">
        <is>
          <t>Directly reduces RE via (1−C)</t>
        </is>
      </c>
      <c r="D13" s="6" t="inlineStr">
        <is>
          <t>0–1. 0=no coverage, 1=full coverage. Be conservative unless verified.</t>
        </is>
      </c>
      <c r="E13" s="7" t="inlineStr">
        <is>
          <t>0–1</t>
        </is>
      </c>
      <c r="F13" s="7" t="inlineStr">
        <is>
          <t>0.4</t>
        </is>
      </c>
    </row>
    <row r="14">
      <c r="A14" s="5" t="inlineStr">
        <is>
          <t>tau</t>
        </is>
      </c>
      <c r="B14" s="6" t="inlineStr">
        <is>
          <t>Time pressure coefficient</t>
        </is>
      </c>
      <c r="C14" s="6" t="inlineStr">
        <is>
          <t>Increases RE when rushed/late</t>
        </is>
      </c>
      <c r="D14" s="6" t="inlineStr">
        <is>
          <t>&gt;0. 1 neutral. &gt;1 pressured; &lt;1 improved cadence.</t>
        </is>
      </c>
      <c r="E14" s="7" t="inlineStr">
        <is>
          <t>&gt;0</t>
        </is>
      </c>
      <c r="F14" s="7" t="inlineStr">
        <is>
          <t>1.2</t>
        </is>
      </c>
    </row>
    <row r="15">
      <c r="A15" s="5" t="inlineStr">
        <is>
          <t>TFi</t>
        </is>
      </c>
      <c r="B15" s="6" t="inlineStr">
        <is>
          <t>Context difficulty coefficient</t>
        </is>
      </c>
      <c r="C15" s="6" t="inlineStr">
        <is>
          <t>Captures structural difficulty</t>
        </is>
      </c>
      <c r="D15" s="6" t="inlineStr">
        <is>
          <t>&gt;0. 1 baseline. Increase for externalities/irreversibility/etc.</t>
        </is>
      </c>
      <c r="E15" s="7" t="inlineStr">
        <is>
          <t>&gt;0</t>
        </is>
      </c>
      <c r="F15" s="7" t="inlineStr">
        <is>
          <t>1.1</t>
        </is>
      </c>
    </row>
    <row r="16">
      <c r="A16" s="5" t="inlineStr">
        <is>
          <t>TF_i</t>
        </is>
      </c>
      <c r="B16" s="6" t="inlineStr">
        <is>
          <t>Manual type translation (override)</t>
        </is>
      </c>
      <c r="C16" s="6" t="inlineStr">
        <is>
          <t>Allows expert override vs default</t>
        </is>
      </c>
      <c r="D16" s="6" t="inlineStr">
        <is>
          <t>Leave blank to use TF_default. Fill only with justification in Notes.</t>
        </is>
      </c>
      <c r="E16" s="7" t="inlineStr">
        <is>
          <t>Blank or &gt;0</t>
        </is>
      </c>
      <c r="F16" s="7" t="inlineStr">
        <is>
          <t>1.3</t>
        </is>
      </c>
    </row>
    <row r="17">
      <c r="A17" s="5" t="inlineStr">
        <is>
          <t>TF_default</t>
        </is>
      </c>
      <c r="B17" s="6" t="inlineStr">
        <is>
          <t>Default TF_i from Domain</t>
        </is>
      </c>
      <c r="C17" s="6" t="inlineStr">
        <is>
          <t>Reduces translation workload</t>
        </is>
      </c>
      <c r="D17" s="6" t="inlineStr">
        <is>
          <t>Auto from Setup mapping; edit defaults in Setup if needed.</t>
        </is>
      </c>
      <c r="E17" s="7" t="inlineStr">
        <is>
          <t>Auto</t>
        </is>
      </c>
      <c r="F17" s="7" t="inlineStr">
        <is>
          <t>1.3</t>
        </is>
      </c>
    </row>
    <row r="18">
      <c r="A18" s="5" t="inlineStr">
        <is>
          <t>TF_used</t>
        </is>
      </c>
      <c r="B18" s="6" t="inlineStr">
        <is>
          <t>Effective TF applied</t>
        </is>
      </c>
      <c r="C18" s="6" t="inlineStr">
        <is>
          <t>Ensures model runs even if TF_i blank</t>
        </is>
      </c>
      <c r="D18" s="6" t="inlineStr">
        <is>
          <t>Auto: TF_i if provided else TF_default.</t>
        </is>
      </c>
      <c r="E18" s="7" t="inlineStr">
        <is>
          <t>Auto</t>
        </is>
      </c>
      <c r="F18" s="7" t="inlineStr">
        <is>
          <t>1.3</t>
        </is>
      </c>
    </row>
    <row r="19">
      <c r="A19" s="5" t="inlineStr">
        <is>
          <t>P_cum</t>
        </is>
      </c>
      <c r="B19" s="6" t="inlineStr">
        <is>
          <t>Cumulative probability over T</t>
        </is>
      </c>
      <c r="C19" s="6" t="inlineStr">
        <is>
          <t>Implements accumulation logic</t>
        </is>
      </c>
      <c r="D19" s="6" t="inlineStr">
        <is>
          <t>Auto: 1-(1-P)^T.</t>
        </is>
      </c>
      <c r="E19" s="7" t="inlineStr">
        <is>
          <t>Auto</t>
        </is>
      </c>
      <c r="F19" s="7" t="inlineStr">
        <is>
          <t>0.46</t>
        </is>
      </c>
    </row>
    <row r="20">
      <c r="A20" s="5" t="inlineStr">
        <is>
          <t>L_exp</t>
        </is>
      </c>
      <c r="B20" s="6" t="inlineStr">
        <is>
          <t>Expected loss pre-governance</t>
        </is>
      </c>
      <c r="C20" s="6" t="inlineStr">
        <is>
          <t>Baseline exposure into governance layer</t>
        </is>
      </c>
      <c r="D20" s="6" t="inlineStr">
        <is>
          <t>Auto: P_cum × I.</t>
        </is>
      </c>
      <c r="E20" s="7" t="inlineStr">
        <is>
          <t>Auto</t>
        </is>
      </c>
      <c r="F20" s="7" t="inlineStr">
        <is>
          <t>115</t>
        </is>
      </c>
    </row>
    <row r="21">
      <c r="A21" s="5" t="inlineStr">
        <is>
          <t>RE</t>
        </is>
      </c>
      <c r="B21" s="6" t="inlineStr">
        <is>
          <t>Residual Exposure</t>
        </is>
      </c>
      <c r="C21" s="6" t="inlineStr">
        <is>
          <t>Core governance outcome per risk</t>
        </is>
      </c>
      <c r="D21" s="6" t="inlineStr">
        <is>
          <t>Auto: L_exp × tau × TFi × (1−C).</t>
        </is>
      </c>
      <c r="E21" s="7" t="inlineStr">
        <is>
          <t>Auto</t>
        </is>
      </c>
      <c r="F21" s="7" t="inlineStr">
        <is>
          <t>91</t>
        </is>
      </c>
    </row>
    <row r="22">
      <c r="A22" s="5" t="inlineStr">
        <is>
          <t>TRE_i</t>
        </is>
      </c>
      <c r="B22" s="6" t="inlineStr">
        <is>
          <t>Typed Residual Exposure</t>
        </is>
      </c>
      <c r="C22" s="6" t="inlineStr">
        <is>
          <t>Comparable/additive accountability unit</t>
        </is>
      </c>
      <c r="D22" s="6" t="inlineStr">
        <is>
          <t>Auto: RE × TF_used.</t>
        </is>
      </c>
      <c r="E22" s="7" t="inlineStr">
        <is>
          <t>Auto</t>
        </is>
      </c>
      <c r="F22" s="7" t="inlineStr">
        <is>
          <t>118</t>
        </is>
      </c>
    </row>
    <row r="23">
      <c r="A23" s="5" t="inlineStr">
        <is>
          <t>Erosion_Flag</t>
        </is>
      </c>
      <c r="B23" s="6" t="inlineStr">
        <is>
          <t>Escalation indicator</t>
        </is>
      </c>
      <c r="C23" s="6" t="inlineStr">
        <is>
          <t>Enables erosion-focused rollups (G_E, LR_E)</t>
        </is>
      </c>
      <c r="D23" s="6" t="inlineStr">
        <is>
          <t>Choose E for escalating/compounding risks, N otherwise; justify in Notes.</t>
        </is>
      </c>
      <c r="E23" s="7" t="inlineStr">
        <is>
          <t>E or N</t>
        </is>
      </c>
      <c r="F23" s="7" t="inlineStr">
        <is>
          <t>E (Escalating)</t>
        </is>
      </c>
    </row>
    <row r="24">
      <c r="A24" s="5" t="inlineStr">
        <is>
          <t>Notes</t>
        </is>
      </c>
      <c r="B24" s="6" t="inlineStr">
        <is>
          <t>Assumptions/sources/rationale</t>
        </is>
      </c>
      <c r="C24" s="6" t="inlineStr">
        <is>
          <t>Auditability; reduces black-box perception</t>
        </is>
      </c>
      <c r="D24" s="6" t="inlineStr">
        <is>
          <t>Record sources, estimation method, and overrides.</t>
        </is>
      </c>
      <c r="E24" s="7" t="inlineStr">
        <is>
          <t>Free text</t>
        </is>
      </c>
      <c r="F24" s="7" t="inlineStr">
        <is>
          <t>SME est., Q4…</t>
        </is>
      </c>
    </row>
    <row r="25">
      <c r="A25" s="5" t="inlineStr">
        <is>
          <t>TRE_score</t>
        </is>
      </c>
      <c r="B25" s="6" t="inlineStr">
        <is>
          <t>Hidden helper for stable ranking</t>
        </is>
      </c>
      <c r="C25" s="6" t="inlineStr">
        <is>
          <t>Prevents Top-N instability when ties exist</t>
        </is>
      </c>
      <c r="D25" s="6" t="inlineStr">
        <is>
          <t>Auto/hidden; do not edit.</t>
        </is>
      </c>
      <c r="E25" s="7" t="inlineStr">
        <is>
          <t>Auto</t>
        </is>
      </c>
      <c r="F25" s="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1" t="inlineStr">
        <is>
          <t>Setup / Assumptions</t>
        </is>
      </c>
    </row>
    <row r="3">
      <c r="A3" s="2" t="inlineStr">
        <is>
          <t>Governance Capacity</t>
        </is>
      </c>
    </row>
    <row r="4">
      <c r="A4" t="inlineStr">
        <is>
          <t>A (Governance Capacity)</t>
        </is>
      </c>
      <c r="B4" s="8" t="n">
        <v>100</v>
      </c>
      <c r="C4" s="3" t="inlineStr">
        <is>
          <t>Input. Keep units consistent with I and L_exp.</t>
        </is>
      </c>
    </row>
    <row r="6">
      <c r="A6" s="2" t="inlineStr">
        <is>
          <t>Domains (dropdown list)</t>
        </is>
      </c>
      <c r="C6" s="2" t="inlineStr">
        <is>
          <t>Erosion Flag (dropdown list)</t>
        </is>
      </c>
    </row>
    <row r="8">
      <c r="A8" s="9" t="inlineStr">
        <is>
          <t>Technology</t>
        </is>
      </c>
      <c r="C8" t="inlineStr">
        <is>
          <t>E (Escalating)</t>
        </is>
      </c>
    </row>
    <row r="9">
      <c r="A9" s="9" t="inlineStr">
        <is>
          <t>Operations</t>
        </is>
      </c>
      <c r="C9" t="inlineStr">
        <is>
          <t>N (Non‑Escalating)</t>
        </is>
      </c>
    </row>
    <row r="10">
      <c r="A10" s="9" t="inlineStr">
        <is>
          <t>Compliance</t>
        </is>
      </c>
    </row>
    <row r="11">
      <c r="A11" s="9" t="inlineStr">
        <is>
          <t>Security</t>
        </is>
      </c>
    </row>
    <row r="12">
      <c r="A12" s="9" t="inlineStr">
        <is>
          <t>Strategy</t>
        </is>
      </c>
    </row>
    <row r="13">
      <c r="A13" s="9" t="inlineStr">
        <is>
          <t>Supply Chain</t>
        </is>
      </c>
    </row>
    <row r="15">
      <c r="A15" s="2" t="inlineStr">
        <is>
          <t>Default TF_i by Domain (editable)</t>
        </is>
      </c>
    </row>
    <row r="16">
      <c r="A16" s="4" t="inlineStr">
        <is>
          <t>Domain</t>
        </is>
      </c>
      <c r="B16" s="4" t="inlineStr">
        <is>
          <t>Default_TF_i</t>
        </is>
      </c>
    </row>
    <row r="17">
      <c r="A17" s="10" t="inlineStr">
        <is>
          <t>Technology</t>
        </is>
      </c>
      <c r="B17" s="10" t="n">
        <v>1</v>
      </c>
    </row>
    <row r="18">
      <c r="A18" s="10" t="inlineStr">
        <is>
          <t>Operations</t>
        </is>
      </c>
      <c r="B18" s="10" t="n">
        <v>1</v>
      </c>
    </row>
    <row r="19">
      <c r="A19" s="10" t="inlineStr">
        <is>
          <t>Compliance</t>
        </is>
      </c>
      <c r="B19" s="10" t="n">
        <v>1.2</v>
      </c>
    </row>
    <row r="20">
      <c r="A20" s="10" t="inlineStr">
        <is>
          <t>Security</t>
        </is>
      </c>
      <c r="B20" s="10" t="n">
        <v>1.3</v>
      </c>
    </row>
    <row r="21">
      <c r="A21" s="10" t="inlineStr">
        <is>
          <t>Strategy</t>
        </is>
      </c>
      <c r="B21" s="10" t="n">
        <v>1.1</v>
      </c>
    </row>
    <row r="22">
      <c r="A22" s="10" t="inlineStr">
        <is>
          <t>Supply Chain</t>
        </is>
      </c>
      <c r="B22" s="10" t="n">
        <v>1.2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>
      <c r="A1" s="1" t="inlineStr">
        <is>
          <t>Input Form (Fill one risk, then paste values into Risk_Register)</t>
        </is>
      </c>
    </row>
    <row r="3">
      <c r="A3" s="2" t="inlineStr">
        <is>
          <t>Instructions</t>
        </is>
      </c>
    </row>
    <row r="4" ht="55" customHeight="1">
      <c r="A4" s="3" t="inlineStr">
        <is>
          <t>1) Fill the blue cells below for ONE risk.
2) Copy A8:M8 and paste as VALUES into the next empty row in Risk_Register (columns A–M).
3) Do not paste into calculated columns; Risk_Register computes automatically.</t>
        </is>
      </c>
    </row>
    <row r="6">
      <c r="A6" t="inlineStr">
        <is>
          <t>Risk_ID</t>
        </is>
      </c>
      <c r="B6" t="inlineStr">
        <is>
          <t>Risk_Name</t>
        </is>
      </c>
      <c r="C6" t="inlineStr">
        <is>
          <t>Domain</t>
        </is>
      </c>
      <c r="D6" t="inlineStr">
        <is>
          <t>Description</t>
        </is>
      </c>
      <c r="E6" t="inlineStr">
        <is>
          <t>P</t>
        </is>
      </c>
      <c r="F6" t="inlineStr">
        <is>
          <t>T</t>
        </is>
      </c>
      <c r="G6" t="inlineStr">
        <is>
          <t>I</t>
        </is>
      </c>
      <c r="H6" t="inlineStr">
        <is>
          <t>C</t>
        </is>
      </c>
      <c r="I6" t="inlineStr">
        <is>
          <t>tau</t>
        </is>
      </c>
      <c r="J6" t="inlineStr">
        <is>
          <t>TFi</t>
        </is>
      </c>
      <c r="K6" t="inlineStr">
        <is>
          <t>TF_i</t>
        </is>
      </c>
      <c r="L6" t="inlineStr">
        <is>
          <t>Erosion_Flag</t>
        </is>
      </c>
      <c r="M6" t="inlineStr">
        <is>
          <t>Notes</t>
        </is>
      </c>
    </row>
    <row r="7">
      <c r="A7" s="4" t="inlineStr">
        <is>
          <t>Risk_ID</t>
        </is>
      </c>
      <c r="B7" s="4" t="inlineStr">
        <is>
          <t>Risk_Name</t>
        </is>
      </c>
      <c r="C7" s="4" t="inlineStr">
        <is>
          <t>Domain</t>
        </is>
      </c>
      <c r="D7" s="4" t="inlineStr">
        <is>
          <t>Description</t>
        </is>
      </c>
      <c r="E7" s="4" t="inlineStr">
        <is>
          <t>P</t>
        </is>
      </c>
      <c r="F7" s="4" t="inlineStr">
        <is>
          <t>T</t>
        </is>
      </c>
      <c r="G7" s="4" t="inlineStr">
        <is>
          <t>I</t>
        </is>
      </c>
      <c r="H7" s="4" t="inlineStr">
        <is>
          <t>C</t>
        </is>
      </c>
      <c r="I7" s="4" t="inlineStr">
        <is>
          <t>tau</t>
        </is>
      </c>
      <c r="J7" s="4" t="inlineStr">
        <is>
          <t>TFi</t>
        </is>
      </c>
      <c r="K7" s="4" t="inlineStr">
        <is>
          <t>TF_i</t>
        </is>
      </c>
      <c r="L7" s="4" t="inlineStr">
        <is>
          <t>Erosion_Flag</t>
        </is>
      </c>
      <c r="M7" s="4" t="inlineStr">
        <is>
          <t>Notes</t>
        </is>
      </c>
    </row>
    <row r="8">
      <c r="A8" s="11" t="inlineStr"/>
      <c r="B8" s="11" t="inlineStr"/>
      <c r="C8" s="11" t="inlineStr"/>
      <c r="D8" s="12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dataValidations count="6">
    <dataValidation sqref="C8" showDropDown="0" showInputMessage="0" showErrorMessage="0" allowBlank="1" type="list">
      <formula1>=Setup!$A$8:$A$13</formula1>
    </dataValidation>
    <dataValidation sqref="L8" showDropDown="0" showInputMessage="0" showErrorMessage="0" allowBlank="1" type="list">
      <formula1>=Setup!$C$8:$C$9</formula1>
    </dataValidation>
    <dataValidation sqref="E8 H8" showDropDown="0" showInputMessage="0" showErrorMessage="0" allowBlank="1" type="decimal" operator="between">
      <formula1>0</formula1>
      <formula2>1</formula2>
    </dataValidation>
    <dataValidation sqref="F8" showDropDown="0" showInputMessage="0" showErrorMessage="0" allowBlank="1" type="whole" operator="greaterThanOrEqual">
      <formula1>1</formula1>
    </dataValidation>
    <dataValidation sqref="G8" showDropDown="0" showInputMessage="0" showErrorMessage="0" allowBlank="1" type="decimal" operator="greaterThanOrEqual">
      <formula1>0</formula1>
    </dataValidation>
    <dataValidation sqref="I8 J8 K8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45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30" customWidth="1" min="19" max="19"/>
    <col hidden="1" width="12" customWidth="1" min="20" max="20"/>
  </cols>
  <sheetData>
    <row r="1">
      <c r="A1" s="4" t="inlineStr">
        <is>
          <t>Risk_ID</t>
        </is>
      </c>
      <c r="B1" s="4" t="inlineStr">
        <is>
          <t>Risk_Name</t>
        </is>
      </c>
      <c r="C1" s="4" t="inlineStr">
        <is>
          <t>Domain</t>
        </is>
      </c>
      <c r="D1" s="4" t="inlineStr">
        <is>
          <t>Description</t>
        </is>
      </c>
      <c r="E1" s="4" t="inlineStr">
        <is>
          <t>P</t>
        </is>
      </c>
      <c r="F1" s="4" t="inlineStr">
        <is>
          <t>T</t>
        </is>
      </c>
      <c r="G1" s="4" t="inlineStr">
        <is>
          <t>I</t>
        </is>
      </c>
      <c r="H1" s="4" t="inlineStr">
        <is>
          <t>C</t>
        </is>
      </c>
      <c r="I1" s="4" t="inlineStr">
        <is>
          <t>tau</t>
        </is>
      </c>
      <c r="J1" s="4" t="inlineStr">
        <is>
          <t>TFi</t>
        </is>
      </c>
      <c r="K1" s="4" t="inlineStr">
        <is>
          <t>TF_i</t>
        </is>
      </c>
      <c r="L1" s="4" t="inlineStr">
        <is>
          <t>TF_default</t>
        </is>
      </c>
      <c r="M1" s="4" t="inlineStr">
        <is>
          <t>TF_used</t>
        </is>
      </c>
      <c r="N1" s="4" t="inlineStr">
        <is>
          <t>P_cum</t>
        </is>
      </c>
      <c r="O1" s="4" t="inlineStr">
        <is>
          <t>L_exp</t>
        </is>
      </c>
      <c r="P1" s="4" t="inlineStr">
        <is>
          <t>RE</t>
        </is>
      </c>
      <c r="Q1" s="4" t="inlineStr">
        <is>
          <t>TRE_i</t>
        </is>
      </c>
      <c r="R1" s="4" t="inlineStr">
        <is>
          <t>Erosion_Flag</t>
        </is>
      </c>
      <c r="S1" s="4" t="inlineStr">
        <is>
          <t>Notes</t>
        </is>
      </c>
      <c r="T1" s="4" t="inlineStr">
        <is>
          <t>TRE_score</t>
        </is>
      </c>
    </row>
    <row r="2">
      <c r="A2" s="11" t="n"/>
      <c r="B2" s="11" t="n"/>
      <c r="C2" s="11" t="n"/>
      <c r="D2" s="13" t="n"/>
      <c r="E2" s="11" t="n"/>
      <c r="F2" s="11" t="n"/>
      <c r="G2" s="11" t="n"/>
      <c r="H2" s="11" t="n"/>
      <c r="I2" s="11" t="n"/>
      <c r="J2" s="11" t="n"/>
      <c r="K2" s="11" t="n"/>
      <c r="L2" s="14">
        <f>IF($C2="","",IFERROR(VLOOKUP($C2,Setup!$A$17:$B$22,2,FALSE),1))</f>
        <v/>
      </c>
      <c r="M2" s="14">
        <f>IF($K2="",$L2,$K2)</f>
        <v/>
      </c>
      <c r="N2" s="14">
        <f>IF(OR($E2="",$F2=""),"",1-(1-$E2)^$F2)</f>
        <v/>
      </c>
      <c r="O2" s="14">
        <f>IF(OR($N2="",$G2=""),"",$N2*$G2)</f>
        <v/>
      </c>
      <c r="P2" s="14">
        <f>IF(OR($O2="",$I2="",$J2="",$H2=""),"",$O2*$I2*$J2*(1-$H2))</f>
        <v/>
      </c>
      <c r="Q2" s="14">
        <f>IF(OR($P2="",$M2=""),"",$P2*$M2)</f>
        <v/>
      </c>
      <c r="R2" s="11" t="n"/>
      <c r="S2" s="13" t="n"/>
      <c r="T2" s="14">
        <f>IF($Q2="","",$Q2+ROW()/1000000)</f>
        <v/>
      </c>
    </row>
    <row r="3">
      <c r="A3" s="11" t="n"/>
      <c r="B3" s="11" t="n"/>
      <c r="C3" s="11" t="n"/>
      <c r="D3" s="13" t="n"/>
      <c r="E3" s="11" t="n"/>
      <c r="F3" s="11" t="n"/>
      <c r="G3" s="11" t="n"/>
      <c r="H3" s="11" t="n"/>
      <c r="I3" s="11" t="n"/>
      <c r="J3" s="11" t="n"/>
      <c r="K3" s="11" t="n"/>
      <c r="L3" s="14">
        <f>IF($C3="","",IFERROR(VLOOKUP($C3,Setup!$A$17:$B$22,2,FALSE),1))</f>
        <v/>
      </c>
      <c r="M3" s="14">
        <f>IF($K3="",$L3,$K3)</f>
        <v/>
      </c>
      <c r="N3" s="14">
        <f>IF(OR($E3="",$F3=""),"",1-(1-$E3)^$F3)</f>
        <v/>
      </c>
      <c r="O3" s="14">
        <f>IF(OR($N3="",$G3=""),"",$N3*$G3)</f>
        <v/>
      </c>
      <c r="P3" s="14">
        <f>IF(OR($O3="",$I3="",$J3="",$H3=""),"",$O3*$I3*$J3*(1-$H3))</f>
        <v/>
      </c>
      <c r="Q3" s="14">
        <f>IF(OR($P3="",$M3=""),"",$P3*$M3)</f>
        <v/>
      </c>
      <c r="R3" s="11" t="n"/>
      <c r="S3" s="13" t="n"/>
      <c r="T3" s="14">
        <f>IF($Q3="","",$Q3+ROW()/1000000)</f>
        <v/>
      </c>
    </row>
    <row r="4">
      <c r="A4" s="11" t="n"/>
      <c r="B4" s="11" t="n"/>
      <c r="C4" s="11" t="n"/>
      <c r="D4" s="13" t="n"/>
      <c r="E4" s="11" t="n"/>
      <c r="F4" s="11" t="n"/>
      <c r="G4" s="11" t="n"/>
      <c r="H4" s="11" t="n"/>
      <c r="I4" s="11" t="n"/>
      <c r="J4" s="11" t="n"/>
      <c r="K4" s="11" t="n"/>
      <c r="L4" s="14">
        <f>IF($C4="","",IFERROR(VLOOKUP($C4,Setup!$A$17:$B$22,2,FALSE),1))</f>
        <v/>
      </c>
      <c r="M4" s="14">
        <f>IF($K4="",$L4,$K4)</f>
        <v/>
      </c>
      <c r="N4" s="14">
        <f>IF(OR($E4="",$F4=""),"",1-(1-$E4)^$F4)</f>
        <v/>
      </c>
      <c r="O4" s="14">
        <f>IF(OR($N4="",$G4=""),"",$N4*$G4)</f>
        <v/>
      </c>
      <c r="P4" s="14">
        <f>IF(OR($O4="",$I4="",$J4="",$H4=""),"",$O4*$I4*$J4*(1-$H4))</f>
        <v/>
      </c>
      <c r="Q4" s="14">
        <f>IF(OR($P4="",$M4=""),"",$P4*$M4)</f>
        <v/>
      </c>
      <c r="R4" s="11" t="n"/>
      <c r="S4" s="13" t="n"/>
      <c r="T4" s="14">
        <f>IF($Q4="","",$Q4+ROW()/1000000)</f>
        <v/>
      </c>
    </row>
    <row r="5">
      <c r="A5" s="11" t="n"/>
      <c r="B5" s="11" t="n"/>
      <c r="C5" s="11" t="n"/>
      <c r="D5" s="13" t="n"/>
      <c r="E5" s="11" t="n"/>
      <c r="F5" s="11" t="n"/>
      <c r="G5" s="11" t="n"/>
      <c r="H5" s="11" t="n"/>
      <c r="I5" s="11" t="n"/>
      <c r="J5" s="11" t="n"/>
      <c r="K5" s="11" t="n"/>
      <c r="L5" s="14">
        <f>IF($C5="","",IFERROR(VLOOKUP($C5,Setup!$A$17:$B$22,2,FALSE),1))</f>
        <v/>
      </c>
      <c r="M5" s="14">
        <f>IF($K5="",$L5,$K5)</f>
        <v/>
      </c>
      <c r="N5" s="14">
        <f>IF(OR($E5="",$F5=""),"",1-(1-$E5)^$F5)</f>
        <v/>
      </c>
      <c r="O5" s="14">
        <f>IF(OR($N5="",$G5=""),"",$N5*$G5)</f>
        <v/>
      </c>
      <c r="P5" s="14">
        <f>IF(OR($O5="",$I5="",$J5="",$H5=""),"",$O5*$I5*$J5*(1-$H5))</f>
        <v/>
      </c>
      <c r="Q5" s="14">
        <f>IF(OR($P5="",$M5=""),"",$P5*$M5)</f>
        <v/>
      </c>
      <c r="R5" s="11" t="n"/>
      <c r="S5" s="13" t="n"/>
      <c r="T5" s="14">
        <f>IF($Q5="","",$Q5+ROW()/1000000)</f>
        <v/>
      </c>
    </row>
    <row r="6">
      <c r="A6" s="11" t="n"/>
      <c r="B6" s="11" t="n"/>
      <c r="C6" s="11" t="n"/>
      <c r="D6" s="13" t="n"/>
      <c r="E6" s="11" t="n"/>
      <c r="F6" s="11" t="n"/>
      <c r="G6" s="11" t="n"/>
      <c r="H6" s="11" t="n"/>
      <c r="I6" s="11" t="n"/>
      <c r="J6" s="11" t="n"/>
      <c r="K6" s="11" t="n"/>
      <c r="L6" s="14">
        <f>IF($C6="","",IFERROR(VLOOKUP($C6,Setup!$A$17:$B$22,2,FALSE),1))</f>
        <v/>
      </c>
      <c r="M6" s="14">
        <f>IF($K6="",$L6,$K6)</f>
        <v/>
      </c>
      <c r="N6" s="14">
        <f>IF(OR($E6="",$F6=""),"",1-(1-$E6)^$F6)</f>
        <v/>
      </c>
      <c r="O6" s="14">
        <f>IF(OR($N6="",$G6=""),"",$N6*$G6)</f>
        <v/>
      </c>
      <c r="P6" s="14">
        <f>IF(OR($O6="",$I6="",$J6="",$H6=""),"",$O6*$I6*$J6*(1-$H6))</f>
        <v/>
      </c>
      <c r="Q6" s="14">
        <f>IF(OR($P6="",$M6=""),"",$P6*$M6)</f>
        <v/>
      </c>
      <c r="R6" s="11" t="n"/>
      <c r="S6" s="13" t="n"/>
      <c r="T6" s="14">
        <f>IF($Q6="","",$Q6+ROW()/1000000)</f>
        <v/>
      </c>
    </row>
    <row r="7">
      <c r="A7" s="11" t="n"/>
      <c r="B7" s="11" t="n"/>
      <c r="C7" s="11" t="n"/>
      <c r="D7" s="13" t="n"/>
      <c r="E7" s="11" t="n"/>
      <c r="F7" s="11" t="n"/>
      <c r="G7" s="11" t="n"/>
      <c r="H7" s="11" t="n"/>
      <c r="I7" s="11" t="n"/>
      <c r="J7" s="11" t="n"/>
      <c r="K7" s="11" t="n"/>
      <c r="L7" s="14">
        <f>IF($C7="","",IFERROR(VLOOKUP($C7,Setup!$A$17:$B$22,2,FALSE),1))</f>
        <v/>
      </c>
      <c r="M7" s="14">
        <f>IF($K7="",$L7,$K7)</f>
        <v/>
      </c>
      <c r="N7" s="14">
        <f>IF(OR($E7="",$F7=""),"",1-(1-$E7)^$F7)</f>
        <v/>
      </c>
      <c r="O7" s="14">
        <f>IF(OR($N7="",$G7=""),"",$N7*$G7)</f>
        <v/>
      </c>
      <c r="P7" s="14">
        <f>IF(OR($O7="",$I7="",$J7="",$H7=""),"",$O7*$I7*$J7*(1-$H7))</f>
        <v/>
      </c>
      <c r="Q7" s="14">
        <f>IF(OR($P7="",$M7=""),"",$P7*$M7)</f>
        <v/>
      </c>
      <c r="R7" s="11" t="n"/>
      <c r="S7" s="13" t="n"/>
      <c r="T7" s="14">
        <f>IF($Q7="","",$Q7+ROW()/1000000)</f>
        <v/>
      </c>
    </row>
    <row r="8">
      <c r="A8" s="11" t="n"/>
      <c r="B8" s="11" t="n"/>
      <c r="C8" s="11" t="n"/>
      <c r="D8" s="13" t="n"/>
      <c r="E8" s="11" t="n"/>
      <c r="F8" s="11" t="n"/>
      <c r="G8" s="11" t="n"/>
      <c r="H8" s="11" t="n"/>
      <c r="I8" s="11" t="n"/>
      <c r="J8" s="11" t="n"/>
      <c r="K8" s="11" t="n"/>
      <c r="L8" s="14">
        <f>IF($C8="","",IFERROR(VLOOKUP($C8,Setup!$A$17:$B$22,2,FALSE),1))</f>
        <v/>
      </c>
      <c r="M8" s="14">
        <f>IF($K8="",$L8,$K8)</f>
        <v/>
      </c>
      <c r="N8" s="14">
        <f>IF(OR($E8="",$F8=""),"",1-(1-$E8)^$F8)</f>
        <v/>
      </c>
      <c r="O8" s="14">
        <f>IF(OR($N8="",$G8=""),"",$N8*$G8)</f>
        <v/>
      </c>
      <c r="P8" s="14">
        <f>IF(OR($O8="",$I8="",$J8="",$H8=""),"",$O8*$I8*$J8*(1-$H8))</f>
        <v/>
      </c>
      <c r="Q8" s="14">
        <f>IF(OR($P8="",$M8=""),"",$P8*$M8)</f>
        <v/>
      </c>
      <c r="R8" s="11" t="n"/>
      <c r="S8" s="13" t="n"/>
      <c r="T8" s="14">
        <f>IF($Q8="","",$Q8+ROW()/1000000)</f>
        <v/>
      </c>
    </row>
    <row r="9">
      <c r="A9" s="11" t="n"/>
      <c r="B9" s="11" t="n"/>
      <c r="C9" s="11" t="n"/>
      <c r="D9" s="13" t="n"/>
      <c r="E9" s="11" t="n"/>
      <c r="F9" s="11" t="n"/>
      <c r="G9" s="11" t="n"/>
      <c r="H9" s="11" t="n"/>
      <c r="I9" s="11" t="n"/>
      <c r="J9" s="11" t="n"/>
      <c r="K9" s="11" t="n"/>
      <c r="L9" s="14">
        <f>IF($C9="","",IFERROR(VLOOKUP($C9,Setup!$A$17:$B$22,2,FALSE),1))</f>
        <v/>
      </c>
      <c r="M9" s="14">
        <f>IF($K9="",$L9,$K9)</f>
        <v/>
      </c>
      <c r="N9" s="14">
        <f>IF(OR($E9="",$F9=""),"",1-(1-$E9)^$F9)</f>
        <v/>
      </c>
      <c r="O9" s="14">
        <f>IF(OR($N9="",$G9=""),"",$N9*$G9)</f>
        <v/>
      </c>
      <c r="P9" s="14">
        <f>IF(OR($O9="",$I9="",$J9="",$H9=""),"",$O9*$I9*$J9*(1-$H9))</f>
        <v/>
      </c>
      <c r="Q9" s="14">
        <f>IF(OR($P9="",$M9=""),"",$P9*$M9)</f>
        <v/>
      </c>
      <c r="R9" s="11" t="n"/>
      <c r="S9" s="13" t="n"/>
      <c r="T9" s="14">
        <f>IF($Q9="","",$Q9+ROW()/1000000)</f>
        <v/>
      </c>
    </row>
    <row r="10">
      <c r="A10" s="11" t="n"/>
      <c r="B10" s="11" t="n"/>
      <c r="C10" s="11" t="n"/>
      <c r="D10" s="13" t="n"/>
      <c r="E10" s="11" t="n"/>
      <c r="F10" s="11" t="n"/>
      <c r="G10" s="11" t="n"/>
      <c r="H10" s="11" t="n"/>
      <c r="I10" s="11" t="n"/>
      <c r="J10" s="11" t="n"/>
      <c r="K10" s="11" t="n"/>
      <c r="L10" s="14">
        <f>IF($C10="","",IFERROR(VLOOKUP($C10,Setup!$A$17:$B$22,2,FALSE),1))</f>
        <v/>
      </c>
      <c r="M10" s="14">
        <f>IF($K10="",$L10,$K10)</f>
        <v/>
      </c>
      <c r="N10" s="14">
        <f>IF(OR($E10="",$F10=""),"",1-(1-$E10)^$F10)</f>
        <v/>
      </c>
      <c r="O10" s="14">
        <f>IF(OR($N10="",$G10=""),"",$N10*$G10)</f>
        <v/>
      </c>
      <c r="P10" s="14">
        <f>IF(OR($O10="",$I10="",$J10="",$H10=""),"",$O10*$I10*$J10*(1-$H10))</f>
        <v/>
      </c>
      <c r="Q10" s="14">
        <f>IF(OR($P10="",$M10=""),"",$P10*$M10)</f>
        <v/>
      </c>
      <c r="R10" s="11" t="n"/>
      <c r="S10" s="13" t="n"/>
      <c r="T10" s="14">
        <f>IF($Q10="","",$Q10+ROW()/1000000)</f>
        <v/>
      </c>
    </row>
    <row r="11">
      <c r="A11" s="11" t="n"/>
      <c r="B11" s="11" t="n"/>
      <c r="C11" s="11" t="n"/>
      <c r="D11" s="13" t="n"/>
      <c r="E11" s="11" t="n"/>
      <c r="F11" s="11" t="n"/>
      <c r="G11" s="11" t="n"/>
      <c r="H11" s="11" t="n"/>
      <c r="I11" s="11" t="n"/>
      <c r="J11" s="11" t="n"/>
      <c r="K11" s="11" t="n"/>
      <c r="L11" s="14">
        <f>IF($C11="","",IFERROR(VLOOKUP($C11,Setup!$A$17:$B$22,2,FALSE),1))</f>
        <v/>
      </c>
      <c r="M11" s="14">
        <f>IF($K11="",$L11,$K11)</f>
        <v/>
      </c>
      <c r="N11" s="14">
        <f>IF(OR($E11="",$F11=""),"",1-(1-$E11)^$F11)</f>
        <v/>
      </c>
      <c r="O11" s="14">
        <f>IF(OR($N11="",$G11=""),"",$N11*$G11)</f>
        <v/>
      </c>
      <c r="P11" s="14">
        <f>IF(OR($O11="",$I11="",$J11="",$H11=""),"",$O11*$I11*$J11*(1-$H11))</f>
        <v/>
      </c>
      <c r="Q11" s="14">
        <f>IF(OR($P11="",$M11=""),"",$P11*$M11)</f>
        <v/>
      </c>
      <c r="R11" s="11" t="n"/>
      <c r="S11" s="13" t="n"/>
      <c r="T11" s="14">
        <f>IF($Q11="","",$Q11+ROW()/1000000)</f>
        <v/>
      </c>
    </row>
    <row r="12">
      <c r="A12" s="11" t="n"/>
      <c r="B12" s="11" t="n"/>
      <c r="C12" s="11" t="n"/>
      <c r="D12" s="13" t="n"/>
      <c r="E12" s="11" t="n"/>
      <c r="F12" s="11" t="n"/>
      <c r="G12" s="11" t="n"/>
      <c r="H12" s="11" t="n"/>
      <c r="I12" s="11" t="n"/>
      <c r="J12" s="11" t="n"/>
      <c r="K12" s="11" t="n"/>
      <c r="L12" s="14">
        <f>IF($C12="","",IFERROR(VLOOKUP($C12,Setup!$A$17:$B$22,2,FALSE),1))</f>
        <v/>
      </c>
      <c r="M12" s="14">
        <f>IF($K12="",$L12,$K12)</f>
        <v/>
      </c>
      <c r="N12" s="14">
        <f>IF(OR($E12="",$F12=""),"",1-(1-$E12)^$F12)</f>
        <v/>
      </c>
      <c r="O12" s="14">
        <f>IF(OR($N12="",$G12=""),"",$N12*$G12)</f>
        <v/>
      </c>
      <c r="P12" s="14">
        <f>IF(OR($O12="",$I12="",$J12="",$H12=""),"",$O12*$I12*$J12*(1-$H12))</f>
        <v/>
      </c>
      <c r="Q12" s="14">
        <f>IF(OR($P12="",$M12=""),"",$P12*$M12)</f>
        <v/>
      </c>
      <c r="R12" s="11" t="n"/>
      <c r="S12" s="13" t="n"/>
      <c r="T12" s="14">
        <f>IF($Q12="","",$Q12+ROW()/1000000)</f>
        <v/>
      </c>
    </row>
    <row r="13">
      <c r="A13" s="11" t="n"/>
      <c r="B13" s="11" t="n"/>
      <c r="C13" s="11" t="n"/>
      <c r="D13" s="13" t="n"/>
      <c r="E13" s="11" t="n"/>
      <c r="F13" s="11" t="n"/>
      <c r="G13" s="11" t="n"/>
      <c r="H13" s="11" t="n"/>
      <c r="I13" s="11" t="n"/>
      <c r="J13" s="11" t="n"/>
      <c r="K13" s="11" t="n"/>
      <c r="L13" s="14">
        <f>IF($C13="","",IFERROR(VLOOKUP($C13,Setup!$A$17:$B$22,2,FALSE),1))</f>
        <v/>
      </c>
      <c r="M13" s="14">
        <f>IF($K13="",$L13,$K13)</f>
        <v/>
      </c>
      <c r="N13" s="14">
        <f>IF(OR($E13="",$F13=""),"",1-(1-$E13)^$F13)</f>
        <v/>
      </c>
      <c r="O13" s="14">
        <f>IF(OR($N13="",$G13=""),"",$N13*$G13)</f>
        <v/>
      </c>
      <c r="P13" s="14">
        <f>IF(OR($O13="",$I13="",$J13="",$H13=""),"",$O13*$I13*$J13*(1-$H13))</f>
        <v/>
      </c>
      <c r="Q13" s="14">
        <f>IF(OR($P13="",$M13=""),"",$P13*$M13)</f>
        <v/>
      </c>
      <c r="R13" s="11" t="n"/>
      <c r="S13" s="13" t="n"/>
      <c r="T13" s="14">
        <f>IF($Q13="","",$Q13+ROW()/1000000)</f>
        <v/>
      </c>
    </row>
    <row r="14">
      <c r="A14" s="11" t="n"/>
      <c r="B14" s="11" t="n"/>
      <c r="C14" s="11" t="n"/>
      <c r="D14" s="13" t="n"/>
      <c r="E14" s="11" t="n"/>
      <c r="F14" s="11" t="n"/>
      <c r="G14" s="11" t="n"/>
      <c r="H14" s="11" t="n"/>
      <c r="I14" s="11" t="n"/>
      <c r="J14" s="11" t="n"/>
      <c r="K14" s="11" t="n"/>
      <c r="L14" s="14">
        <f>IF($C14="","",IFERROR(VLOOKUP($C14,Setup!$A$17:$B$22,2,FALSE),1))</f>
        <v/>
      </c>
      <c r="M14" s="14">
        <f>IF($K14="",$L14,$K14)</f>
        <v/>
      </c>
      <c r="N14" s="14">
        <f>IF(OR($E14="",$F14=""),"",1-(1-$E14)^$F14)</f>
        <v/>
      </c>
      <c r="O14" s="14">
        <f>IF(OR($N14="",$G14=""),"",$N14*$G14)</f>
        <v/>
      </c>
      <c r="P14" s="14">
        <f>IF(OR($O14="",$I14="",$J14="",$H14=""),"",$O14*$I14*$J14*(1-$H14))</f>
        <v/>
      </c>
      <c r="Q14" s="14">
        <f>IF(OR($P14="",$M14=""),"",$P14*$M14)</f>
        <v/>
      </c>
      <c r="R14" s="11" t="n"/>
      <c r="S14" s="13" t="n"/>
      <c r="T14" s="14">
        <f>IF($Q14="","",$Q14+ROW()/1000000)</f>
        <v/>
      </c>
    </row>
    <row r="15">
      <c r="A15" s="11" t="n"/>
      <c r="B15" s="11" t="n"/>
      <c r="C15" s="11" t="n"/>
      <c r="D15" s="13" t="n"/>
      <c r="E15" s="11" t="n"/>
      <c r="F15" s="11" t="n"/>
      <c r="G15" s="11" t="n"/>
      <c r="H15" s="11" t="n"/>
      <c r="I15" s="11" t="n"/>
      <c r="J15" s="11" t="n"/>
      <c r="K15" s="11" t="n"/>
      <c r="L15" s="14">
        <f>IF($C15="","",IFERROR(VLOOKUP($C15,Setup!$A$17:$B$22,2,FALSE),1))</f>
        <v/>
      </c>
      <c r="M15" s="14">
        <f>IF($K15="",$L15,$K15)</f>
        <v/>
      </c>
      <c r="N15" s="14">
        <f>IF(OR($E15="",$F15=""),"",1-(1-$E15)^$F15)</f>
        <v/>
      </c>
      <c r="O15" s="14">
        <f>IF(OR($N15="",$G15=""),"",$N15*$G15)</f>
        <v/>
      </c>
      <c r="P15" s="14">
        <f>IF(OR($O15="",$I15="",$J15="",$H15=""),"",$O15*$I15*$J15*(1-$H15))</f>
        <v/>
      </c>
      <c r="Q15" s="14">
        <f>IF(OR($P15="",$M15=""),"",$P15*$M15)</f>
        <v/>
      </c>
      <c r="R15" s="11" t="n"/>
      <c r="S15" s="13" t="n"/>
      <c r="T15" s="14">
        <f>IF($Q15="","",$Q15+ROW()/1000000)</f>
        <v/>
      </c>
    </row>
    <row r="16">
      <c r="A16" s="11" t="n"/>
      <c r="B16" s="11" t="n"/>
      <c r="C16" s="11" t="n"/>
      <c r="D16" s="13" t="n"/>
      <c r="E16" s="11" t="n"/>
      <c r="F16" s="11" t="n"/>
      <c r="G16" s="11" t="n"/>
      <c r="H16" s="11" t="n"/>
      <c r="I16" s="11" t="n"/>
      <c r="J16" s="11" t="n"/>
      <c r="K16" s="11" t="n"/>
      <c r="L16" s="14">
        <f>IF($C16="","",IFERROR(VLOOKUP($C16,Setup!$A$17:$B$22,2,FALSE),1))</f>
        <v/>
      </c>
      <c r="M16" s="14">
        <f>IF($K16="",$L16,$K16)</f>
        <v/>
      </c>
      <c r="N16" s="14">
        <f>IF(OR($E16="",$F16=""),"",1-(1-$E16)^$F16)</f>
        <v/>
      </c>
      <c r="O16" s="14">
        <f>IF(OR($N16="",$G16=""),"",$N16*$G16)</f>
        <v/>
      </c>
      <c r="P16" s="14">
        <f>IF(OR($O16="",$I16="",$J16="",$H16=""),"",$O16*$I16*$J16*(1-$H16))</f>
        <v/>
      </c>
      <c r="Q16" s="14">
        <f>IF(OR($P16="",$M16=""),"",$P16*$M16)</f>
        <v/>
      </c>
      <c r="R16" s="11" t="n"/>
      <c r="S16" s="13" t="n"/>
      <c r="T16" s="14">
        <f>IF($Q16="","",$Q16+ROW()/1000000)</f>
        <v/>
      </c>
    </row>
    <row r="17">
      <c r="A17" s="11" t="n"/>
      <c r="B17" s="11" t="n"/>
      <c r="C17" s="11" t="n"/>
      <c r="D17" s="13" t="n"/>
      <c r="E17" s="11" t="n"/>
      <c r="F17" s="11" t="n"/>
      <c r="G17" s="11" t="n"/>
      <c r="H17" s="11" t="n"/>
      <c r="I17" s="11" t="n"/>
      <c r="J17" s="11" t="n"/>
      <c r="K17" s="11" t="n"/>
      <c r="L17" s="14">
        <f>IF($C17="","",IFERROR(VLOOKUP($C17,Setup!$A$17:$B$22,2,FALSE),1))</f>
        <v/>
      </c>
      <c r="M17" s="14">
        <f>IF($K17="",$L17,$K17)</f>
        <v/>
      </c>
      <c r="N17" s="14">
        <f>IF(OR($E17="",$F17=""),"",1-(1-$E17)^$F17)</f>
        <v/>
      </c>
      <c r="O17" s="14">
        <f>IF(OR($N17="",$G17=""),"",$N17*$G17)</f>
        <v/>
      </c>
      <c r="P17" s="14">
        <f>IF(OR($O17="",$I17="",$J17="",$H17=""),"",$O17*$I17*$J17*(1-$H17))</f>
        <v/>
      </c>
      <c r="Q17" s="14">
        <f>IF(OR($P17="",$M17=""),"",$P17*$M17)</f>
        <v/>
      </c>
      <c r="R17" s="11" t="n"/>
      <c r="S17" s="13" t="n"/>
      <c r="T17" s="14">
        <f>IF($Q17="","",$Q17+ROW()/1000000)</f>
        <v/>
      </c>
    </row>
    <row r="18">
      <c r="A18" s="11" t="n"/>
      <c r="B18" s="11" t="n"/>
      <c r="C18" s="11" t="n"/>
      <c r="D18" s="13" t="n"/>
      <c r="E18" s="11" t="n"/>
      <c r="F18" s="11" t="n"/>
      <c r="G18" s="11" t="n"/>
      <c r="H18" s="11" t="n"/>
      <c r="I18" s="11" t="n"/>
      <c r="J18" s="11" t="n"/>
      <c r="K18" s="11" t="n"/>
      <c r="L18" s="14">
        <f>IF($C18="","",IFERROR(VLOOKUP($C18,Setup!$A$17:$B$22,2,FALSE),1))</f>
        <v/>
      </c>
      <c r="M18" s="14">
        <f>IF($K18="",$L18,$K18)</f>
        <v/>
      </c>
      <c r="N18" s="14">
        <f>IF(OR($E18="",$F18=""),"",1-(1-$E18)^$F18)</f>
        <v/>
      </c>
      <c r="O18" s="14">
        <f>IF(OR($N18="",$G18=""),"",$N18*$G18)</f>
        <v/>
      </c>
      <c r="P18" s="14">
        <f>IF(OR($O18="",$I18="",$J18="",$H18=""),"",$O18*$I18*$J18*(1-$H18))</f>
        <v/>
      </c>
      <c r="Q18" s="14">
        <f>IF(OR($P18="",$M18=""),"",$P18*$M18)</f>
        <v/>
      </c>
      <c r="R18" s="11" t="n"/>
      <c r="S18" s="13" t="n"/>
      <c r="T18" s="14">
        <f>IF($Q18="","",$Q18+ROW()/1000000)</f>
        <v/>
      </c>
    </row>
    <row r="19">
      <c r="A19" s="11" t="n"/>
      <c r="B19" s="11" t="n"/>
      <c r="C19" s="11" t="n"/>
      <c r="D19" s="13" t="n"/>
      <c r="E19" s="11" t="n"/>
      <c r="F19" s="11" t="n"/>
      <c r="G19" s="11" t="n"/>
      <c r="H19" s="11" t="n"/>
      <c r="I19" s="11" t="n"/>
      <c r="J19" s="11" t="n"/>
      <c r="K19" s="11" t="n"/>
      <c r="L19" s="14">
        <f>IF($C19="","",IFERROR(VLOOKUP($C19,Setup!$A$17:$B$22,2,FALSE),1))</f>
        <v/>
      </c>
      <c r="M19" s="14">
        <f>IF($K19="",$L19,$K19)</f>
        <v/>
      </c>
      <c r="N19" s="14">
        <f>IF(OR($E19="",$F19=""),"",1-(1-$E19)^$F19)</f>
        <v/>
      </c>
      <c r="O19" s="14">
        <f>IF(OR($N19="",$G19=""),"",$N19*$G19)</f>
        <v/>
      </c>
      <c r="P19" s="14">
        <f>IF(OR($O19="",$I19="",$J19="",$H19=""),"",$O19*$I19*$J19*(1-$H19))</f>
        <v/>
      </c>
      <c r="Q19" s="14">
        <f>IF(OR($P19="",$M19=""),"",$P19*$M19)</f>
        <v/>
      </c>
      <c r="R19" s="11" t="n"/>
      <c r="S19" s="13" t="n"/>
      <c r="T19" s="14">
        <f>IF($Q19="","",$Q19+ROW()/1000000)</f>
        <v/>
      </c>
    </row>
    <row r="20">
      <c r="A20" s="11" t="n"/>
      <c r="B20" s="11" t="n"/>
      <c r="C20" s="11" t="n"/>
      <c r="D20" s="13" t="n"/>
      <c r="E20" s="11" t="n"/>
      <c r="F20" s="11" t="n"/>
      <c r="G20" s="11" t="n"/>
      <c r="H20" s="11" t="n"/>
      <c r="I20" s="11" t="n"/>
      <c r="J20" s="11" t="n"/>
      <c r="K20" s="11" t="n"/>
      <c r="L20" s="14">
        <f>IF($C20="","",IFERROR(VLOOKUP($C20,Setup!$A$17:$B$22,2,FALSE),1))</f>
        <v/>
      </c>
      <c r="M20" s="14">
        <f>IF($K20="",$L20,$K20)</f>
        <v/>
      </c>
      <c r="N20" s="14">
        <f>IF(OR($E20="",$F20=""),"",1-(1-$E20)^$F20)</f>
        <v/>
      </c>
      <c r="O20" s="14">
        <f>IF(OR($N20="",$G20=""),"",$N20*$G20)</f>
        <v/>
      </c>
      <c r="P20" s="14">
        <f>IF(OR($O20="",$I20="",$J20="",$H20=""),"",$O20*$I20*$J20*(1-$H20))</f>
        <v/>
      </c>
      <c r="Q20" s="14">
        <f>IF(OR($P20="",$M20=""),"",$P20*$M20)</f>
        <v/>
      </c>
      <c r="R20" s="11" t="n"/>
      <c r="S20" s="13" t="n"/>
      <c r="T20" s="14">
        <f>IF($Q20="","",$Q20+ROW()/1000000)</f>
        <v/>
      </c>
    </row>
    <row r="21">
      <c r="A21" s="11" t="n"/>
      <c r="B21" s="11" t="n"/>
      <c r="C21" s="11" t="n"/>
      <c r="D21" s="13" t="n"/>
      <c r="E21" s="11" t="n"/>
      <c r="F21" s="11" t="n"/>
      <c r="G21" s="11" t="n"/>
      <c r="H21" s="11" t="n"/>
      <c r="I21" s="11" t="n"/>
      <c r="J21" s="11" t="n"/>
      <c r="K21" s="11" t="n"/>
      <c r="L21" s="14">
        <f>IF($C21="","",IFERROR(VLOOKUP($C21,Setup!$A$17:$B$22,2,FALSE),1))</f>
        <v/>
      </c>
      <c r="M21" s="14">
        <f>IF($K21="",$L21,$K21)</f>
        <v/>
      </c>
      <c r="N21" s="14">
        <f>IF(OR($E21="",$F21=""),"",1-(1-$E21)^$F21)</f>
        <v/>
      </c>
      <c r="O21" s="14">
        <f>IF(OR($N21="",$G21=""),"",$N21*$G21)</f>
        <v/>
      </c>
      <c r="P21" s="14">
        <f>IF(OR($O21="",$I21="",$J21="",$H21=""),"",$O21*$I21*$J21*(1-$H21))</f>
        <v/>
      </c>
      <c r="Q21" s="14">
        <f>IF(OR($P21="",$M21=""),"",$P21*$M21)</f>
        <v/>
      </c>
      <c r="R21" s="11" t="n"/>
      <c r="S21" s="13" t="n"/>
      <c r="T21" s="14">
        <f>IF($Q21="","",$Q21+ROW()/1000000)</f>
        <v/>
      </c>
    </row>
    <row r="22">
      <c r="A22" s="11" t="n"/>
      <c r="B22" s="11" t="n"/>
      <c r="C22" s="11" t="n"/>
      <c r="D22" s="13" t="n"/>
      <c r="E22" s="11" t="n"/>
      <c r="F22" s="11" t="n"/>
      <c r="G22" s="11" t="n"/>
      <c r="H22" s="11" t="n"/>
      <c r="I22" s="11" t="n"/>
      <c r="J22" s="11" t="n"/>
      <c r="K22" s="11" t="n"/>
      <c r="L22" s="14">
        <f>IF($C22="","",IFERROR(VLOOKUP($C22,Setup!$A$17:$B$22,2,FALSE),1))</f>
        <v/>
      </c>
      <c r="M22" s="14">
        <f>IF($K22="",$L22,$K22)</f>
        <v/>
      </c>
      <c r="N22" s="14">
        <f>IF(OR($E22="",$F22=""),"",1-(1-$E22)^$F22)</f>
        <v/>
      </c>
      <c r="O22" s="14">
        <f>IF(OR($N22="",$G22=""),"",$N22*$G22)</f>
        <v/>
      </c>
      <c r="P22" s="14">
        <f>IF(OR($O22="",$I22="",$J22="",$H22=""),"",$O22*$I22*$J22*(1-$H22))</f>
        <v/>
      </c>
      <c r="Q22" s="14">
        <f>IF(OR($P22="",$M22=""),"",$P22*$M22)</f>
        <v/>
      </c>
      <c r="R22" s="11" t="n"/>
      <c r="S22" s="13" t="n"/>
      <c r="T22" s="14">
        <f>IF($Q22="","",$Q22+ROW()/1000000)</f>
        <v/>
      </c>
    </row>
    <row r="23">
      <c r="A23" s="11" t="n"/>
      <c r="B23" s="11" t="n"/>
      <c r="C23" s="11" t="n"/>
      <c r="D23" s="13" t="n"/>
      <c r="E23" s="11" t="n"/>
      <c r="F23" s="11" t="n"/>
      <c r="G23" s="11" t="n"/>
      <c r="H23" s="11" t="n"/>
      <c r="I23" s="11" t="n"/>
      <c r="J23" s="11" t="n"/>
      <c r="K23" s="11" t="n"/>
      <c r="L23" s="14">
        <f>IF($C23="","",IFERROR(VLOOKUP($C23,Setup!$A$17:$B$22,2,FALSE),1))</f>
        <v/>
      </c>
      <c r="M23" s="14">
        <f>IF($K23="",$L23,$K23)</f>
        <v/>
      </c>
      <c r="N23" s="14">
        <f>IF(OR($E23="",$F23=""),"",1-(1-$E23)^$F23)</f>
        <v/>
      </c>
      <c r="O23" s="14">
        <f>IF(OR($N23="",$G23=""),"",$N23*$G23)</f>
        <v/>
      </c>
      <c r="P23" s="14">
        <f>IF(OR($O23="",$I23="",$J23="",$H23=""),"",$O23*$I23*$J23*(1-$H23))</f>
        <v/>
      </c>
      <c r="Q23" s="14">
        <f>IF(OR($P23="",$M23=""),"",$P23*$M23)</f>
        <v/>
      </c>
      <c r="R23" s="11" t="n"/>
      <c r="S23" s="13" t="n"/>
      <c r="T23" s="14">
        <f>IF($Q23="","",$Q23+ROW()/1000000)</f>
        <v/>
      </c>
    </row>
    <row r="24">
      <c r="A24" s="11" t="n"/>
      <c r="B24" s="11" t="n"/>
      <c r="C24" s="11" t="n"/>
      <c r="D24" s="13" t="n"/>
      <c r="E24" s="11" t="n"/>
      <c r="F24" s="11" t="n"/>
      <c r="G24" s="11" t="n"/>
      <c r="H24" s="11" t="n"/>
      <c r="I24" s="11" t="n"/>
      <c r="J24" s="11" t="n"/>
      <c r="K24" s="11" t="n"/>
      <c r="L24" s="14">
        <f>IF($C24="","",IFERROR(VLOOKUP($C24,Setup!$A$17:$B$22,2,FALSE),1))</f>
        <v/>
      </c>
      <c r="M24" s="14">
        <f>IF($K24="",$L24,$K24)</f>
        <v/>
      </c>
      <c r="N24" s="14">
        <f>IF(OR($E24="",$F24=""),"",1-(1-$E24)^$F24)</f>
        <v/>
      </c>
      <c r="O24" s="14">
        <f>IF(OR($N24="",$G24=""),"",$N24*$G24)</f>
        <v/>
      </c>
      <c r="P24" s="14">
        <f>IF(OR($O24="",$I24="",$J24="",$H24=""),"",$O24*$I24*$J24*(1-$H24))</f>
        <v/>
      </c>
      <c r="Q24" s="14">
        <f>IF(OR($P24="",$M24=""),"",$P24*$M24)</f>
        <v/>
      </c>
      <c r="R24" s="11" t="n"/>
      <c r="S24" s="13" t="n"/>
      <c r="T24" s="14">
        <f>IF($Q24="","",$Q24+ROW()/1000000)</f>
        <v/>
      </c>
    </row>
    <row r="25">
      <c r="A25" s="11" t="n"/>
      <c r="B25" s="11" t="n"/>
      <c r="C25" s="11" t="n"/>
      <c r="D25" s="13" t="n"/>
      <c r="E25" s="11" t="n"/>
      <c r="F25" s="11" t="n"/>
      <c r="G25" s="11" t="n"/>
      <c r="H25" s="11" t="n"/>
      <c r="I25" s="11" t="n"/>
      <c r="J25" s="11" t="n"/>
      <c r="K25" s="11" t="n"/>
      <c r="L25" s="14">
        <f>IF($C25="","",IFERROR(VLOOKUP($C25,Setup!$A$17:$B$22,2,FALSE),1))</f>
        <v/>
      </c>
      <c r="M25" s="14">
        <f>IF($K25="",$L25,$K25)</f>
        <v/>
      </c>
      <c r="N25" s="14">
        <f>IF(OR($E25="",$F25=""),"",1-(1-$E25)^$F25)</f>
        <v/>
      </c>
      <c r="O25" s="14">
        <f>IF(OR($N25="",$G25=""),"",$N25*$G25)</f>
        <v/>
      </c>
      <c r="P25" s="14">
        <f>IF(OR($O25="",$I25="",$J25="",$H25=""),"",$O25*$I25*$J25*(1-$H25))</f>
        <v/>
      </c>
      <c r="Q25" s="14">
        <f>IF(OR($P25="",$M25=""),"",$P25*$M25)</f>
        <v/>
      </c>
      <c r="R25" s="11" t="n"/>
      <c r="S25" s="13" t="n"/>
      <c r="T25" s="14">
        <f>IF($Q25="","",$Q25+ROW()/1000000)</f>
        <v/>
      </c>
    </row>
    <row r="26">
      <c r="A26" s="11" t="n"/>
      <c r="B26" s="11" t="n"/>
      <c r="C26" s="11" t="n"/>
      <c r="D26" s="13" t="n"/>
      <c r="E26" s="11" t="n"/>
      <c r="F26" s="11" t="n"/>
      <c r="G26" s="11" t="n"/>
      <c r="H26" s="11" t="n"/>
      <c r="I26" s="11" t="n"/>
      <c r="J26" s="11" t="n"/>
      <c r="K26" s="11" t="n"/>
      <c r="L26" s="14">
        <f>IF($C26="","",IFERROR(VLOOKUP($C26,Setup!$A$17:$B$22,2,FALSE),1))</f>
        <v/>
      </c>
      <c r="M26" s="14">
        <f>IF($K26="",$L26,$K26)</f>
        <v/>
      </c>
      <c r="N26" s="14">
        <f>IF(OR($E26="",$F26=""),"",1-(1-$E26)^$F26)</f>
        <v/>
      </c>
      <c r="O26" s="14">
        <f>IF(OR($N26="",$G26=""),"",$N26*$G26)</f>
        <v/>
      </c>
      <c r="P26" s="14">
        <f>IF(OR($O26="",$I26="",$J26="",$H26=""),"",$O26*$I26*$J26*(1-$H26))</f>
        <v/>
      </c>
      <c r="Q26" s="14">
        <f>IF(OR($P26="",$M26=""),"",$P26*$M26)</f>
        <v/>
      </c>
      <c r="R26" s="11" t="n"/>
      <c r="S26" s="13" t="n"/>
      <c r="T26" s="14">
        <f>IF($Q26="","",$Q26+ROW()/1000000)</f>
        <v/>
      </c>
    </row>
    <row r="27">
      <c r="A27" s="11" t="n"/>
      <c r="B27" s="11" t="n"/>
      <c r="C27" s="11" t="n"/>
      <c r="D27" s="13" t="n"/>
      <c r="E27" s="11" t="n"/>
      <c r="F27" s="11" t="n"/>
      <c r="G27" s="11" t="n"/>
      <c r="H27" s="11" t="n"/>
      <c r="I27" s="11" t="n"/>
      <c r="J27" s="11" t="n"/>
      <c r="K27" s="11" t="n"/>
      <c r="L27" s="14">
        <f>IF($C27="","",IFERROR(VLOOKUP($C27,Setup!$A$17:$B$22,2,FALSE),1))</f>
        <v/>
      </c>
      <c r="M27" s="14">
        <f>IF($K27="",$L27,$K27)</f>
        <v/>
      </c>
      <c r="N27" s="14">
        <f>IF(OR($E27="",$F27=""),"",1-(1-$E27)^$F27)</f>
        <v/>
      </c>
      <c r="O27" s="14">
        <f>IF(OR($N27="",$G27=""),"",$N27*$G27)</f>
        <v/>
      </c>
      <c r="P27" s="14">
        <f>IF(OR($O27="",$I27="",$J27="",$H27=""),"",$O27*$I27*$J27*(1-$H27))</f>
        <v/>
      </c>
      <c r="Q27" s="14">
        <f>IF(OR($P27="",$M27=""),"",$P27*$M27)</f>
        <v/>
      </c>
      <c r="R27" s="11" t="n"/>
      <c r="S27" s="13" t="n"/>
      <c r="T27" s="14">
        <f>IF($Q27="","",$Q27+ROW()/1000000)</f>
        <v/>
      </c>
    </row>
    <row r="28">
      <c r="A28" s="11" t="n"/>
      <c r="B28" s="11" t="n"/>
      <c r="C28" s="11" t="n"/>
      <c r="D28" s="13" t="n"/>
      <c r="E28" s="11" t="n"/>
      <c r="F28" s="11" t="n"/>
      <c r="G28" s="11" t="n"/>
      <c r="H28" s="11" t="n"/>
      <c r="I28" s="11" t="n"/>
      <c r="J28" s="11" t="n"/>
      <c r="K28" s="11" t="n"/>
      <c r="L28" s="14">
        <f>IF($C28="","",IFERROR(VLOOKUP($C28,Setup!$A$17:$B$22,2,FALSE),1))</f>
        <v/>
      </c>
      <c r="M28" s="14">
        <f>IF($K28="",$L28,$K28)</f>
        <v/>
      </c>
      <c r="N28" s="14">
        <f>IF(OR($E28="",$F28=""),"",1-(1-$E28)^$F28)</f>
        <v/>
      </c>
      <c r="O28" s="14">
        <f>IF(OR($N28="",$G28=""),"",$N28*$G28)</f>
        <v/>
      </c>
      <c r="P28" s="14">
        <f>IF(OR($O28="",$I28="",$J28="",$H28=""),"",$O28*$I28*$J28*(1-$H28))</f>
        <v/>
      </c>
      <c r="Q28" s="14">
        <f>IF(OR($P28="",$M28=""),"",$P28*$M28)</f>
        <v/>
      </c>
      <c r="R28" s="11" t="n"/>
      <c r="S28" s="13" t="n"/>
      <c r="T28" s="14">
        <f>IF($Q28="","",$Q28+ROW()/1000000)</f>
        <v/>
      </c>
    </row>
    <row r="29">
      <c r="A29" s="11" t="n"/>
      <c r="B29" s="11" t="n"/>
      <c r="C29" s="11" t="n"/>
      <c r="D29" s="13" t="n"/>
      <c r="E29" s="11" t="n"/>
      <c r="F29" s="11" t="n"/>
      <c r="G29" s="11" t="n"/>
      <c r="H29" s="11" t="n"/>
      <c r="I29" s="11" t="n"/>
      <c r="J29" s="11" t="n"/>
      <c r="K29" s="11" t="n"/>
      <c r="L29" s="14">
        <f>IF($C29="","",IFERROR(VLOOKUP($C29,Setup!$A$17:$B$22,2,FALSE),1))</f>
        <v/>
      </c>
      <c r="M29" s="14">
        <f>IF($K29="",$L29,$K29)</f>
        <v/>
      </c>
      <c r="N29" s="14">
        <f>IF(OR($E29="",$F29=""),"",1-(1-$E29)^$F29)</f>
        <v/>
      </c>
      <c r="O29" s="14">
        <f>IF(OR($N29="",$G29=""),"",$N29*$G29)</f>
        <v/>
      </c>
      <c r="P29" s="14">
        <f>IF(OR($O29="",$I29="",$J29="",$H29=""),"",$O29*$I29*$J29*(1-$H29))</f>
        <v/>
      </c>
      <c r="Q29" s="14">
        <f>IF(OR($P29="",$M29=""),"",$P29*$M29)</f>
        <v/>
      </c>
      <c r="R29" s="11" t="n"/>
      <c r="S29" s="13" t="n"/>
      <c r="T29" s="14">
        <f>IF($Q29="","",$Q29+ROW()/1000000)</f>
        <v/>
      </c>
    </row>
    <row r="30">
      <c r="A30" s="11" t="n"/>
      <c r="B30" s="11" t="n"/>
      <c r="C30" s="11" t="n"/>
      <c r="D30" s="13" t="n"/>
      <c r="E30" s="11" t="n"/>
      <c r="F30" s="11" t="n"/>
      <c r="G30" s="11" t="n"/>
      <c r="H30" s="11" t="n"/>
      <c r="I30" s="11" t="n"/>
      <c r="J30" s="11" t="n"/>
      <c r="K30" s="11" t="n"/>
      <c r="L30" s="14">
        <f>IF($C30="","",IFERROR(VLOOKUP($C30,Setup!$A$17:$B$22,2,FALSE),1))</f>
        <v/>
      </c>
      <c r="M30" s="14">
        <f>IF($K30="",$L30,$K30)</f>
        <v/>
      </c>
      <c r="N30" s="14">
        <f>IF(OR($E30="",$F30=""),"",1-(1-$E30)^$F30)</f>
        <v/>
      </c>
      <c r="O30" s="14">
        <f>IF(OR($N30="",$G30=""),"",$N30*$G30)</f>
        <v/>
      </c>
      <c r="P30" s="14">
        <f>IF(OR($O30="",$I30="",$J30="",$H30=""),"",$O30*$I30*$J30*(1-$H30))</f>
        <v/>
      </c>
      <c r="Q30" s="14">
        <f>IF(OR($P30="",$M30=""),"",$P30*$M30)</f>
        <v/>
      </c>
      <c r="R30" s="11" t="n"/>
      <c r="S30" s="13" t="n"/>
      <c r="T30" s="14">
        <f>IF($Q30="","",$Q30+ROW()/1000000)</f>
        <v/>
      </c>
    </row>
    <row r="31">
      <c r="A31" s="11" t="n"/>
      <c r="B31" s="11" t="n"/>
      <c r="C31" s="11" t="n"/>
      <c r="D31" s="13" t="n"/>
      <c r="E31" s="11" t="n"/>
      <c r="F31" s="11" t="n"/>
      <c r="G31" s="11" t="n"/>
      <c r="H31" s="11" t="n"/>
      <c r="I31" s="11" t="n"/>
      <c r="J31" s="11" t="n"/>
      <c r="K31" s="11" t="n"/>
      <c r="L31" s="14">
        <f>IF($C31="","",IFERROR(VLOOKUP($C31,Setup!$A$17:$B$22,2,FALSE),1))</f>
        <v/>
      </c>
      <c r="M31" s="14">
        <f>IF($K31="",$L31,$K31)</f>
        <v/>
      </c>
      <c r="N31" s="14">
        <f>IF(OR($E31="",$F31=""),"",1-(1-$E31)^$F31)</f>
        <v/>
      </c>
      <c r="O31" s="14">
        <f>IF(OR($N31="",$G31=""),"",$N31*$G31)</f>
        <v/>
      </c>
      <c r="P31" s="14">
        <f>IF(OR($O31="",$I31="",$J31="",$H31=""),"",$O31*$I31*$J31*(1-$H31))</f>
        <v/>
      </c>
      <c r="Q31" s="14">
        <f>IF(OR($P31="",$M31=""),"",$P31*$M31)</f>
        <v/>
      </c>
      <c r="R31" s="11" t="n"/>
      <c r="S31" s="13" t="n"/>
      <c r="T31" s="14">
        <f>IF($Q31="","",$Q31+ROW()/1000000)</f>
        <v/>
      </c>
    </row>
    <row r="32">
      <c r="A32" s="11" t="n"/>
      <c r="B32" s="11" t="n"/>
      <c r="C32" s="11" t="n"/>
      <c r="D32" s="13" t="n"/>
      <c r="E32" s="11" t="n"/>
      <c r="F32" s="11" t="n"/>
      <c r="G32" s="11" t="n"/>
      <c r="H32" s="11" t="n"/>
      <c r="I32" s="11" t="n"/>
      <c r="J32" s="11" t="n"/>
      <c r="K32" s="11" t="n"/>
      <c r="L32" s="14">
        <f>IF($C32="","",IFERROR(VLOOKUP($C32,Setup!$A$17:$B$22,2,FALSE),1))</f>
        <v/>
      </c>
      <c r="M32" s="14">
        <f>IF($K32="",$L32,$K32)</f>
        <v/>
      </c>
      <c r="N32" s="14">
        <f>IF(OR($E32="",$F32=""),"",1-(1-$E32)^$F32)</f>
        <v/>
      </c>
      <c r="O32" s="14">
        <f>IF(OR($N32="",$G32=""),"",$N32*$G32)</f>
        <v/>
      </c>
      <c r="P32" s="14">
        <f>IF(OR($O32="",$I32="",$J32="",$H32=""),"",$O32*$I32*$J32*(1-$H32))</f>
        <v/>
      </c>
      <c r="Q32" s="14">
        <f>IF(OR($P32="",$M32=""),"",$P32*$M32)</f>
        <v/>
      </c>
      <c r="R32" s="11" t="n"/>
      <c r="S32" s="13" t="n"/>
      <c r="T32" s="14">
        <f>IF($Q32="","",$Q32+ROW()/1000000)</f>
        <v/>
      </c>
    </row>
    <row r="33">
      <c r="A33" s="11" t="n"/>
      <c r="B33" s="11" t="n"/>
      <c r="C33" s="11" t="n"/>
      <c r="D33" s="13" t="n"/>
      <c r="E33" s="11" t="n"/>
      <c r="F33" s="11" t="n"/>
      <c r="G33" s="11" t="n"/>
      <c r="H33" s="11" t="n"/>
      <c r="I33" s="11" t="n"/>
      <c r="J33" s="11" t="n"/>
      <c r="K33" s="11" t="n"/>
      <c r="L33" s="14">
        <f>IF($C33="","",IFERROR(VLOOKUP($C33,Setup!$A$17:$B$22,2,FALSE),1))</f>
        <v/>
      </c>
      <c r="M33" s="14">
        <f>IF($K33="",$L33,$K33)</f>
        <v/>
      </c>
      <c r="N33" s="14">
        <f>IF(OR($E33="",$F33=""),"",1-(1-$E33)^$F33)</f>
        <v/>
      </c>
      <c r="O33" s="14">
        <f>IF(OR($N33="",$G33=""),"",$N33*$G33)</f>
        <v/>
      </c>
      <c r="P33" s="14">
        <f>IF(OR($O33="",$I33="",$J33="",$H33=""),"",$O33*$I33*$J33*(1-$H33))</f>
        <v/>
      </c>
      <c r="Q33" s="14">
        <f>IF(OR($P33="",$M33=""),"",$P33*$M33)</f>
        <v/>
      </c>
      <c r="R33" s="11" t="n"/>
      <c r="S33" s="13" t="n"/>
      <c r="T33" s="14">
        <f>IF($Q33="","",$Q33+ROW()/1000000)</f>
        <v/>
      </c>
    </row>
    <row r="34">
      <c r="A34" s="11" t="n"/>
      <c r="B34" s="11" t="n"/>
      <c r="C34" s="11" t="n"/>
      <c r="D34" s="13" t="n"/>
      <c r="E34" s="11" t="n"/>
      <c r="F34" s="11" t="n"/>
      <c r="G34" s="11" t="n"/>
      <c r="H34" s="11" t="n"/>
      <c r="I34" s="11" t="n"/>
      <c r="J34" s="11" t="n"/>
      <c r="K34" s="11" t="n"/>
      <c r="L34" s="14">
        <f>IF($C34="","",IFERROR(VLOOKUP($C34,Setup!$A$17:$B$22,2,FALSE),1))</f>
        <v/>
      </c>
      <c r="M34" s="14">
        <f>IF($K34="",$L34,$K34)</f>
        <v/>
      </c>
      <c r="N34" s="14">
        <f>IF(OR($E34="",$F34=""),"",1-(1-$E34)^$F34)</f>
        <v/>
      </c>
      <c r="O34" s="14">
        <f>IF(OR($N34="",$G34=""),"",$N34*$G34)</f>
        <v/>
      </c>
      <c r="P34" s="14">
        <f>IF(OR($O34="",$I34="",$J34="",$H34=""),"",$O34*$I34*$J34*(1-$H34))</f>
        <v/>
      </c>
      <c r="Q34" s="14">
        <f>IF(OR($P34="",$M34=""),"",$P34*$M34)</f>
        <v/>
      </c>
      <c r="R34" s="11" t="n"/>
      <c r="S34" s="13" t="n"/>
      <c r="T34" s="14">
        <f>IF($Q34="","",$Q34+ROW()/1000000)</f>
        <v/>
      </c>
    </row>
    <row r="35">
      <c r="A35" s="11" t="n"/>
      <c r="B35" s="11" t="n"/>
      <c r="C35" s="11" t="n"/>
      <c r="D35" s="13" t="n"/>
      <c r="E35" s="11" t="n"/>
      <c r="F35" s="11" t="n"/>
      <c r="G35" s="11" t="n"/>
      <c r="H35" s="11" t="n"/>
      <c r="I35" s="11" t="n"/>
      <c r="J35" s="11" t="n"/>
      <c r="K35" s="11" t="n"/>
      <c r="L35" s="14">
        <f>IF($C35="","",IFERROR(VLOOKUP($C35,Setup!$A$17:$B$22,2,FALSE),1))</f>
        <v/>
      </c>
      <c r="M35" s="14">
        <f>IF($K35="",$L35,$K35)</f>
        <v/>
      </c>
      <c r="N35" s="14">
        <f>IF(OR($E35="",$F35=""),"",1-(1-$E35)^$F35)</f>
        <v/>
      </c>
      <c r="O35" s="14">
        <f>IF(OR($N35="",$G35=""),"",$N35*$G35)</f>
        <v/>
      </c>
      <c r="P35" s="14">
        <f>IF(OR($O35="",$I35="",$J35="",$H35=""),"",$O35*$I35*$J35*(1-$H35))</f>
        <v/>
      </c>
      <c r="Q35" s="14">
        <f>IF(OR($P35="",$M35=""),"",$P35*$M35)</f>
        <v/>
      </c>
      <c r="R35" s="11" t="n"/>
      <c r="S35" s="13" t="n"/>
      <c r="T35" s="14">
        <f>IF($Q35="","",$Q35+ROW()/1000000)</f>
        <v/>
      </c>
    </row>
    <row r="36">
      <c r="A36" s="11" t="n"/>
      <c r="B36" s="11" t="n"/>
      <c r="C36" s="11" t="n"/>
      <c r="D36" s="13" t="n"/>
      <c r="E36" s="11" t="n"/>
      <c r="F36" s="11" t="n"/>
      <c r="G36" s="11" t="n"/>
      <c r="H36" s="11" t="n"/>
      <c r="I36" s="11" t="n"/>
      <c r="J36" s="11" t="n"/>
      <c r="K36" s="11" t="n"/>
      <c r="L36" s="14">
        <f>IF($C36="","",IFERROR(VLOOKUP($C36,Setup!$A$17:$B$22,2,FALSE),1))</f>
        <v/>
      </c>
      <c r="M36" s="14">
        <f>IF($K36="",$L36,$K36)</f>
        <v/>
      </c>
      <c r="N36" s="14">
        <f>IF(OR($E36="",$F36=""),"",1-(1-$E36)^$F36)</f>
        <v/>
      </c>
      <c r="O36" s="14">
        <f>IF(OR($N36="",$G36=""),"",$N36*$G36)</f>
        <v/>
      </c>
      <c r="P36" s="14">
        <f>IF(OR($O36="",$I36="",$J36="",$H36=""),"",$O36*$I36*$J36*(1-$H36))</f>
        <v/>
      </c>
      <c r="Q36" s="14">
        <f>IF(OR($P36="",$M36=""),"",$P36*$M36)</f>
        <v/>
      </c>
      <c r="R36" s="11" t="n"/>
      <c r="S36" s="13" t="n"/>
      <c r="T36" s="14">
        <f>IF($Q36="","",$Q36+ROW()/1000000)</f>
        <v/>
      </c>
    </row>
    <row r="37">
      <c r="A37" s="11" t="n"/>
      <c r="B37" s="11" t="n"/>
      <c r="C37" s="11" t="n"/>
      <c r="D37" s="13" t="n"/>
      <c r="E37" s="11" t="n"/>
      <c r="F37" s="11" t="n"/>
      <c r="G37" s="11" t="n"/>
      <c r="H37" s="11" t="n"/>
      <c r="I37" s="11" t="n"/>
      <c r="J37" s="11" t="n"/>
      <c r="K37" s="11" t="n"/>
      <c r="L37" s="14">
        <f>IF($C37="","",IFERROR(VLOOKUP($C37,Setup!$A$17:$B$22,2,FALSE),1))</f>
        <v/>
      </c>
      <c r="M37" s="14">
        <f>IF($K37="",$L37,$K37)</f>
        <v/>
      </c>
      <c r="N37" s="14">
        <f>IF(OR($E37="",$F37=""),"",1-(1-$E37)^$F37)</f>
        <v/>
      </c>
      <c r="O37" s="14">
        <f>IF(OR($N37="",$G37=""),"",$N37*$G37)</f>
        <v/>
      </c>
      <c r="P37" s="14">
        <f>IF(OR($O37="",$I37="",$J37="",$H37=""),"",$O37*$I37*$J37*(1-$H37))</f>
        <v/>
      </c>
      <c r="Q37" s="14">
        <f>IF(OR($P37="",$M37=""),"",$P37*$M37)</f>
        <v/>
      </c>
      <c r="R37" s="11" t="n"/>
      <c r="S37" s="13" t="n"/>
      <c r="T37" s="14">
        <f>IF($Q37="","",$Q37+ROW()/1000000)</f>
        <v/>
      </c>
    </row>
    <row r="38">
      <c r="A38" s="11" t="n"/>
      <c r="B38" s="11" t="n"/>
      <c r="C38" s="11" t="n"/>
      <c r="D38" s="13" t="n"/>
      <c r="E38" s="11" t="n"/>
      <c r="F38" s="11" t="n"/>
      <c r="G38" s="11" t="n"/>
      <c r="H38" s="11" t="n"/>
      <c r="I38" s="11" t="n"/>
      <c r="J38" s="11" t="n"/>
      <c r="K38" s="11" t="n"/>
      <c r="L38" s="14">
        <f>IF($C38="","",IFERROR(VLOOKUP($C38,Setup!$A$17:$B$22,2,FALSE),1))</f>
        <v/>
      </c>
      <c r="M38" s="14">
        <f>IF($K38="",$L38,$K38)</f>
        <v/>
      </c>
      <c r="N38" s="14">
        <f>IF(OR($E38="",$F38=""),"",1-(1-$E38)^$F38)</f>
        <v/>
      </c>
      <c r="O38" s="14">
        <f>IF(OR($N38="",$G38=""),"",$N38*$G38)</f>
        <v/>
      </c>
      <c r="P38" s="14">
        <f>IF(OR($O38="",$I38="",$J38="",$H38=""),"",$O38*$I38*$J38*(1-$H38))</f>
        <v/>
      </c>
      <c r="Q38" s="14">
        <f>IF(OR($P38="",$M38=""),"",$P38*$M38)</f>
        <v/>
      </c>
      <c r="R38" s="11" t="n"/>
      <c r="S38" s="13" t="n"/>
      <c r="T38" s="14">
        <f>IF($Q38="","",$Q38+ROW()/1000000)</f>
        <v/>
      </c>
    </row>
    <row r="39">
      <c r="A39" s="11" t="n"/>
      <c r="B39" s="11" t="n"/>
      <c r="C39" s="11" t="n"/>
      <c r="D39" s="13" t="n"/>
      <c r="E39" s="11" t="n"/>
      <c r="F39" s="11" t="n"/>
      <c r="G39" s="11" t="n"/>
      <c r="H39" s="11" t="n"/>
      <c r="I39" s="11" t="n"/>
      <c r="J39" s="11" t="n"/>
      <c r="K39" s="11" t="n"/>
      <c r="L39" s="14">
        <f>IF($C39="","",IFERROR(VLOOKUP($C39,Setup!$A$17:$B$22,2,FALSE),1))</f>
        <v/>
      </c>
      <c r="M39" s="14">
        <f>IF($K39="",$L39,$K39)</f>
        <v/>
      </c>
      <c r="N39" s="14">
        <f>IF(OR($E39="",$F39=""),"",1-(1-$E39)^$F39)</f>
        <v/>
      </c>
      <c r="O39" s="14">
        <f>IF(OR($N39="",$G39=""),"",$N39*$G39)</f>
        <v/>
      </c>
      <c r="P39" s="14">
        <f>IF(OR($O39="",$I39="",$J39="",$H39=""),"",$O39*$I39*$J39*(1-$H39))</f>
        <v/>
      </c>
      <c r="Q39" s="14">
        <f>IF(OR($P39="",$M39=""),"",$P39*$M39)</f>
        <v/>
      </c>
      <c r="R39" s="11" t="n"/>
      <c r="S39" s="13" t="n"/>
      <c r="T39" s="14">
        <f>IF($Q39="","",$Q39+ROW()/1000000)</f>
        <v/>
      </c>
    </row>
    <row r="40">
      <c r="A40" s="11" t="n"/>
      <c r="B40" s="11" t="n"/>
      <c r="C40" s="11" t="n"/>
      <c r="D40" s="13" t="n"/>
      <c r="E40" s="11" t="n"/>
      <c r="F40" s="11" t="n"/>
      <c r="G40" s="11" t="n"/>
      <c r="H40" s="11" t="n"/>
      <c r="I40" s="11" t="n"/>
      <c r="J40" s="11" t="n"/>
      <c r="K40" s="11" t="n"/>
      <c r="L40" s="14">
        <f>IF($C40="","",IFERROR(VLOOKUP($C40,Setup!$A$17:$B$22,2,FALSE),1))</f>
        <v/>
      </c>
      <c r="M40" s="14">
        <f>IF($K40="",$L40,$K40)</f>
        <v/>
      </c>
      <c r="N40" s="14">
        <f>IF(OR($E40="",$F40=""),"",1-(1-$E40)^$F40)</f>
        <v/>
      </c>
      <c r="O40" s="14">
        <f>IF(OR($N40="",$G40=""),"",$N40*$G40)</f>
        <v/>
      </c>
      <c r="P40" s="14">
        <f>IF(OR($O40="",$I40="",$J40="",$H40=""),"",$O40*$I40*$J40*(1-$H40))</f>
        <v/>
      </c>
      <c r="Q40" s="14">
        <f>IF(OR($P40="",$M40=""),"",$P40*$M40)</f>
        <v/>
      </c>
      <c r="R40" s="11" t="n"/>
      <c r="S40" s="13" t="n"/>
      <c r="T40" s="14">
        <f>IF($Q40="","",$Q40+ROW()/1000000)</f>
        <v/>
      </c>
    </row>
    <row r="41">
      <c r="A41" s="11" t="n"/>
      <c r="B41" s="11" t="n"/>
      <c r="C41" s="11" t="n"/>
      <c r="D41" s="13" t="n"/>
      <c r="E41" s="11" t="n"/>
      <c r="F41" s="11" t="n"/>
      <c r="G41" s="11" t="n"/>
      <c r="H41" s="11" t="n"/>
      <c r="I41" s="11" t="n"/>
      <c r="J41" s="11" t="n"/>
      <c r="K41" s="11" t="n"/>
      <c r="L41" s="14">
        <f>IF($C41="","",IFERROR(VLOOKUP($C41,Setup!$A$17:$B$22,2,FALSE),1))</f>
        <v/>
      </c>
      <c r="M41" s="14">
        <f>IF($K41="",$L41,$K41)</f>
        <v/>
      </c>
      <c r="N41" s="14">
        <f>IF(OR($E41="",$F41=""),"",1-(1-$E41)^$F41)</f>
        <v/>
      </c>
      <c r="O41" s="14">
        <f>IF(OR($N41="",$G41=""),"",$N41*$G41)</f>
        <v/>
      </c>
      <c r="P41" s="14">
        <f>IF(OR($O41="",$I41="",$J41="",$H41=""),"",$O41*$I41*$J41*(1-$H41))</f>
        <v/>
      </c>
      <c r="Q41" s="14">
        <f>IF(OR($P41="",$M41=""),"",$P41*$M41)</f>
        <v/>
      </c>
      <c r="R41" s="11" t="n"/>
      <c r="S41" s="13" t="n"/>
      <c r="T41" s="14">
        <f>IF($Q41="","",$Q41+ROW()/1000000)</f>
        <v/>
      </c>
    </row>
    <row r="42">
      <c r="A42" s="11" t="n"/>
      <c r="B42" s="11" t="n"/>
      <c r="C42" s="11" t="n"/>
      <c r="D42" s="13" t="n"/>
      <c r="E42" s="11" t="n"/>
      <c r="F42" s="11" t="n"/>
      <c r="G42" s="11" t="n"/>
      <c r="H42" s="11" t="n"/>
      <c r="I42" s="11" t="n"/>
      <c r="J42" s="11" t="n"/>
      <c r="K42" s="11" t="n"/>
      <c r="L42" s="14">
        <f>IF($C42="","",IFERROR(VLOOKUP($C42,Setup!$A$17:$B$22,2,FALSE),1))</f>
        <v/>
      </c>
      <c r="M42" s="14">
        <f>IF($K42="",$L42,$K42)</f>
        <v/>
      </c>
      <c r="N42" s="14">
        <f>IF(OR($E42="",$F42=""),"",1-(1-$E42)^$F42)</f>
        <v/>
      </c>
      <c r="O42" s="14">
        <f>IF(OR($N42="",$G42=""),"",$N42*$G42)</f>
        <v/>
      </c>
      <c r="P42" s="14">
        <f>IF(OR($O42="",$I42="",$J42="",$H42=""),"",$O42*$I42*$J42*(1-$H42))</f>
        <v/>
      </c>
      <c r="Q42" s="14">
        <f>IF(OR($P42="",$M42=""),"",$P42*$M42)</f>
        <v/>
      </c>
      <c r="R42" s="11" t="n"/>
      <c r="S42" s="13" t="n"/>
      <c r="T42" s="14">
        <f>IF($Q42="","",$Q42+ROW()/1000000)</f>
        <v/>
      </c>
    </row>
    <row r="43">
      <c r="A43" s="11" t="n"/>
      <c r="B43" s="11" t="n"/>
      <c r="C43" s="11" t="n"/>
      <c r="D43" s="13" t="n"/>
      <c r="E43" s="11" t="n"/>
      <c r="F43" s="11" t="n"/>
      <c r="G43" s="11" t="n"/>
      <c r="H43" s="11" t="n"/>
      <c r="I43" s="11" t="n"/>
      <c r="J43" s="11" t="n"/>
      <c r="K43" s="11" t="n"/>
      <c r="L43" s="14">
        <f>IF($C43="","",IFERROR(VLOOKUP($C43,Setup!$A$17:$B$22,2,FALSE),1))</f>
        <v/>
      </c>
      <c r="M43" s="14">
        <f>IF($K43="",$L43,$K43)</f>
        <v/>
      </c>
      <c r="N43" s="14">
        <f>IF(OR($E43="",$F43=""),"",1-(1-$E43)^$F43)</f>
        <v/>
      </c>
      <c r="O43" s="14">
        <f>IF(OR($N43="",$G43=""),"",$N43*$G43)</f>
        <v/>
      </c>
      <c r="P43" s="14">
        <f>IF(OR($O43="",$I43="",$J43="",$H43=""),"",$O43*$I43*$J43*(1-$H43))</f>
        <v/>
      </c>
      <c r="Q43" s="14">
        <f>IF(OR($P43="",$M43=""),"",$P43*$M43)</f>
        <v/>
      </c>
      <c r="R43" s="11" t="n"/>
      <c r="S43" s="13" t="n"/>
      <c r="T43" s="14">
        <f>IF($Q43="","",$Q43+ROW()/1000000)</f>
        <v/>
      </c>
    </row>
    <row r="44">
      <c r="A44" s="11" t="n"/>
      <c r="B44" s="11" t="n"/>
      <c r="C44" s="11" t="n"/>
      <c r="D44" s="13" t="n"/>
      <c r="E44" s="11" t="n"/>
      <c r="F44" s="11" t="n"/>
      <c r="G44" s="11" t="n"/>
      <c r="H44" s="11" t="n"/>
      <c r="I44" s="11" t="n"/>
      <c r="J44" s="11" t="n"/>
      <c r="K44" s="11" t="n"/>
      <c r="L44" s="14">
        <f>IF($C44="","",IFERROR(VLOOKUP($C44,Setup!$A$17:$B$22,2,FALSE),1))</f>
        <v/>
      </c>
      <c r="M44" s="14">
        <f>IF($K44="",$L44,$K44)</f>
        <v/>
      </c>
      <c r="N44" s="14">
        <f>IF(OR($E44="",$F44=""),"",1-(1-$E44)^$F44)</f>
        <v/>
      </c>
      <c r="O44" s="14">
        <f>IF(OR($N44="",$G44=""),"",$N44*$G44)</f>
        <v/>
      </c>
      <c r="P44" s="14">
        <f>IF(OR($O44="",$I44="",$J44="",$H44=""),"",$O44*$I44*$J44*(1-$H44))</f>
        <v/>
      </c>
      <c r="Q44" s="14">
        <f>IF(OR($P44="",$M44=""),"",$P44*$M44)</f>
        <v/>
      </c>
      <c r="R44" s="11" t="n"/>
      <c r="S44" s="13" t="n"/>
      <c r="T44" s="14">
        <f>IF($Q44="","",$Q44+ROW()/1000000)</f>
        <v/>
      </c>
    </row>
    <row r="45">
      <c r="A45" s="11" t="n"/>
      <c r="B45" s="11" t="n"/>
      <c r="C45" s="11" t="n"/>
      <c r="D45" s="13" t="n"/>
      <c r="E45" s="11" t="n"/>
      <c r="F45" s="11" t="n"/>
      <c r="G45" s="11" t="n"/>
      <c r="H45" s="11" t="n"/>
      <c r="I45" s="11" t="n"/>
      <c r="J45" s="11" t="n"/>
      <c r="K45" s="11" t="n"/>
      <c r="L45" s="14">
        <f>IF($C45="","",IFERROR(VLOOKUP($C45,Setup!$A$17:$B$22,2,FALSE),1))</f>
        <v/>
      </c>
      <c r="M45" s="14">
        <f>IF($K45="",$L45,$K45)</f>
        <v/>
      </c>
      <c r="N45" s="14">
        <f>IF(OR($E45="",$F45=""),"",1-(1-$E45)^$F45)</f>
        <v/>
      </c>
      <c r="O45" s="14">
        <f>IF(OR($N45="",$G45=""),"",$N45*$G45)</f>
        <v/>
      </c>
      <c r="P45" s="14">
        <f>IF(OR($O45="",$I45="",$J45="",$H45=""),"",$O45*$I45*$J45*(1-$H45))</f>
        <v/>
      </c>
      <c r="Q45" s="14">
        <f>IF(OR($P45="",$M45=""),"",$P45*$M45)</f>
        <v/>
      </c>
      <c r="R45" s="11" t="n"/>
      <c r="S45" s="13" t="n"/>
      <c r="T45" s="14">
        <f>IF($Q45="","",$Q45+ROW()/1000000)</f>
        <v/>
      </c>
    </row>
    <row r="46">
      <c r="A46" s="11" t="n"/>
      <c r="B46" s="11" t="n"/>
      <c r="C46" s="11" t="n"/>
      <c r="D46" s="13" t="n"/>
      <c r="E46" s="11" t="n"/>
      <c r="F46" s="11" t="n"/>
      <c r="G46" s="11" t="n"/>
      <c r="H46" s="11" t="n"/>
      <c r="I46" s="11" t="n"/>
      <c r="J46" s="11" t="n"/>
      <c r="K46" s="11" t="n"/>
      <c r="L46" s="14">
        <f>IF($C46="","",IFERROR(VLOOKUP($C46,Setup!$A$17:$B$22,2,FALSE),1))</f>
        <v/>
      </c>
      <c r="M46" s="14">
        <f>IF($K46="",$L46,$K46)</f>
        <v/>
      </c>
      <c r="N46" s="14">
        <f>IF(OR($E46="",$F46=""),"",1-(1-$E46)^$F46)</f>
        <v/>
      </c>
      <c r="O46" s="14">
        <f>IF(OR($N46="",$G46=""),"",$N46*$G46)</f>
        <v/>
      </c>
      <c r="P46" s="14">
        <f>IF(OR($O46="",$I46="",$J46="",$H46=""),"",$O46*$I46*$J46*(1-$H46))</f>
        <v/>
      </c>
      <c r="Q46" s="14">
        <f>IF(OR($P46="",$M46=""),"",$P46*$M46)</f>
        <v/>
      </c>
      <c r="R46" s="11" t="n"/>
      <c r="S46" s="13" t="n"/>
      <c r="T46" s="14">
        <f>IF($Q46="","",$Q46+ROW()/1000000)</f>
        <v/>
      </c>
    </row>
    <row r="47">
      <c r="A47" s="11" t="n"/>
      <c r="B47" s="11" t="n"/>
      <c r="C47" s="11" t="n"/>
      <c r="D47" s="13" t="n"/>
      <c r="E47" s="11" t="n"/>
      <c r="F47" s="11" t="n"/>
      <c r="G47" s="11" t="n"/>
      <c r="H47" s="11" t="n"/>
      <c r="I47" s="11" t="n"/>
      <c r="J47" s="11" t="n"/>
      <c r="K47" s="11" t="n"/>
      <c r="L47" s="14">
        <f>IF($C47="","",IFERROR(VLOOKUP($C47,Setup!$A$17:$B$22,2,FALSE),1))</f>
        <v/>
      </c>
      <c r="M47" s="14">
        <f>IF($K47="",$L47,$K47)</f>
        <v/>
      </c>
      <c r="N47" s="14">
        <f>IF(OR($E47="",$F47=""),"",1-(1-$E47)^$F47)</f>
        <v/>
      </c>
      <c r="O47" s="14">
        <f>IF(OR($N47="",$G47=""),"",$N47*$G47)</f>
        <v/>
      </c>
      <c r="P47" s="14">
        <f>IF(OR($O47="",$I47="",$J47="",$H47=""),"",$O47*$I47*$J47*(1-$H47))</f>
        <v/>
      </c>
      <c r="Q47" s="14">
        <f>IF(OR($P47="",$M47=""),"",$P47*$M47)</f>
        <v/>
      </c>
      <c r="R47" s="11" t="n"/>
      <c r="S47" s="13" t="n"/>
      <c r="T47" s="14">
        <f>IF($Q47="","",$Q47+ROW()/1000000)</f>
        <v/>
      </c>
    </row>
    <row r="48">
      <c r="A48" s="11" t="n"/>
      <c r="B48" s="11" t="n"/>
      <c r="C48" s="11" t="n"/>
      <c r="D48" s="13" t="n"/>
      <c r="E48" s="11" t="n"/>
      <c r="F48" s="11" t="n"/>
      <c r="G48" s="11" t="n"/>
      <c r="H48" s="11" t="n"/>
      <c r="I48" s="11" t="n"/>
      <c r="J48" s="11" t="n"/>
      <c r="K48" s="11" t="n"/>
      <c r="L48" s="14">
        <f>IF($C48="","",IFERROR(VLOOKUP($C48,Setup!$A$17:$B$22,2,FALSE),1))</f>
        <v/>
      </c>
      <c r="M48" s="14">
        <f>IF($K48="",$L48,$K48)</f>
        <v/>
      </c>
      <c r="N48" s="14">
        <f>IF(OR($E48="",$F48=""),"",1-(1-$E48)^$F48)</f>
        <v/>
      </c>
      <c r="O48" s="14">
        <f>IF(OR($N48="",$G48=""),"",$N48*$G48)</f>
        <v/>
      </c>
      <c r="P48" s="14">
        <f>IF(OR($O48="",$I48="",$J48="",$H48=""),"",$O48*$I48*$J48*(1-$H48))</f>
        <v/>
      </c>
      <c r="Q48" s="14">
        <f>IF(OR($P48="",$M48=""),"",$P48*$M48)</f>
        <v/>
      </c>
      <c r="R48" s="11" t="n"/>
      <c r="S48" s="13" t="n"/>
      <c r="T48" s="14">
        <f>IF($Q48="","",$Q48+ROW()/1000000)</f>
        <v/>
      </c>
    </row>
    <row r="49">
      <c r="A49" s="11" t="n"/>
      <c r="B49" s="11" t="n"/>
      <c r="C49" s="11" t="n"/>
      <c r="D49" s="13" t="n"/>
      <c r="E49" s="11" t="n"/>
      <c r="F49" s="11" t="n"/>
      <c r="G49" s="11" t="n"/>
      <c r="H49" s="11" t="n"/>
      <c r="I49" s="11" t="n"/>
      <c r="J49" s="11" t="n"/>
      <c r="K49" s="11" t="n"/>
      <c r="L49" s="14">
        <f>IF($C49="","",IFERROR(VLOOKUP($C49,Setup!$A$17:$B$22,2,FALSE),1))</f>
        <v/>
      </c>
      <c r="M49" s="14">
        <f>IF($K49="",$L49,$K49)</f>
        <v/>
      </c>
      <c r="N49" s="14">
        <f>IF(OR($E49="",$F49=""),"",1-(1-$E49)^$F49)</f>
        <v/>
      </c>
      <c r="O49" s="14">
        <f>IF(OR($N49="",$G49=""),"",$N49*$G49)</f>
        <v/>
      </c>
      <c r="P49" s="14">
        <f>IF(OR($O49="",$I49="",$J49="",$H49=""),"",$O49*$I49*$J49*(1-$H49))</f>
        <v/>
      </c>
      <c r="Q49" s="14">
        <f>IF(OR($P49="",$M49=""),"",$P49*$M49)</f>
        <v/>
      </c>
      <c r="R49" s="11" t="n"/>
      <c r="S49" s="13" t="n"/>
      <c r="T49" s="14">
        <f>IF($Q49="","",$Q49+ROW()/1000000)</f>
        <v/>
      </c>
    </row>
    <row r="50">
      <c r="A50" s="11" t="n"/>
      <c r="B50" s="11" t="n"/>
      <c r="C50" s="11" t="n"/>
      <c r="D50" s="13" t="n"/>
      <c r="E50" s="11" t="n"/>
      <c r="F50" s="11" t="n"/>
      <c r="G50" s="11" t="n"/>
      <c r="H50" s="11" t="n"/>
      <c r="I50" s="11" t="n"/>
      <c r="J50" s="11" t="n"/>
      <c r="K50" s="11" t="n"/>
      <c r="L50" s="14">
        <f>IF($C50="","",IFERROR(VLOOKUP($C50,Setup!$A$17:$B$22,2,FALSE),1))</f>
        <v/>
      </c>
      <c r="M50" s="14">
        <f>IF($K50="",$L50,$K50)</f>
        <v/>
      </c>
      <c r="N50" s="14">
        <f>IF(OR($E50="",$F50=""),"",1-(1-$E50)^$F50)</f>
        <v/>
      </c>
      <c r="O50" s="14">
        <f>IF(OR($N50="",$G50=""),"",$N50*$G50)</f>
        <v/>
      </c>
      <c r="P50" s="14">
        <f>IF(OR($O50="",$I50="",$J50="",$H50=""),"",$O50*$I50*$J50*(1-$H50))</f>
        <v/>
      </c>
      <c r="Q50" s="14">
        <f>IF(OR($P50="",$M50=""),"",$P50*$M50)</f>
        <v/>
      </c>
      <c r="R50" s="11" t="n"/>
      <c r="S50" s="13" t="n"/>
      <c r="T50" s="14">
        <f>IF($Q50="","",$Q50+ROW()/1000000)</f>
        <v/>
      </c>
    </row>
    <row r="51">
      <c r="A51" s="11" t="n"/>
      <c r="B51" s="11" t="n"/>
      <c r="C51" s="11" t="n"/>
      <c r="D51" s="13" t="n"/>
      <c r="E51" s="11" t="n"/>
      <c r="F51" s="11" t="n"/>
      <c r="G51" s="11" t="n"/>
      <c r="H51" s="11" t="n"/>
      <c r="I51" s="11" t="n"/>
      <c r="J51" s="11" t="n"/>
      <c r="K51" s="11" t="n"/>
      <c r="L51" s="14">
        <f>IF($C51="","",IFERROR(VLOOKUP($C51,Setup!$A$17:$B$22,2,FALSE),1))</f>
        <v/>
      </c>
      <c r="M51" s="14">
        <f>IF($K51="",$L51,$K51)</f>
        <v/>
      </c>
      <c r="N51" s="14">
        <f>IF(OR($E51="",$F51=""),"",1-(1-$E51)^$F51)</f>
        <v/>
      </c>
      <c r="O51" s="14">
        <f>IF(OR($N51="",$G51=""),"",$N51*$G51)</f>
        <v/>
      </c>
      <c r="P51" s="14">
        <f>IF(OR($O51="",$I51="",$J51="",$H51=""),"",$O51*$I51*$J51*(1-$H51))</f>
        <v/>
      </c>
      <c r="Q51" s="14">
        <f>IF(OR($P51="",$M51=""),"",$P51*$M51)</f>
        <v/>
      </c>
      <c r="R51" s="11" t="n"/>
      <c r="S51" s="13" t="n"/>
      <c r="T51" s="14">
        <f>IF($Q51="","",$Q51+ROW()/1000000)</f>
        <v/>
      </c>
    </row>
    <row r="52">
      <c r="A52" s="11" t="n"/>
      <c r="B52" s="11" t="n"/>
      <c r="C52" s="11" t="n"/>
      <c r="D52" s="13" t="n"/>
      <c r="E52" s="11" t="n"/>
      <c r="F52" s="11" t="n"/>
      <c r="G52" s="11" t="n"/>
      <c r="H52" s="11" t="n"/>
      <c r="I52" s="11" t="n"/>
      <c r="J52" s="11" t="n"/>
      <c r="K52" s="11" t="n"/>
      <c r="L52" s="14">
        <f>IF($C52="","",IFERROR(VLOOKUP($C52,Setup!$A$17:$B$22,2,FALSE),1))</f>
        <v/>
      </c>
      <c r="M52" s="14">
        <f>IF($K52="",$L52,$K52)</f>
        <v/>
      </c>
      <c r="N52" s="14">
        <f>IF(OR($E52="",$F52=""),"",1-(1-$E52)^$F52)</f>
        <v/>
      </c>
      <c r="O52" s="14">
        <f>IF(OR($N52="",$G52=""),"",$N52*$G52)</f>
        <v/>
      </c>
      <c r="P52" s="14">
        <f>IF(OR($O52="",$I52="",$J52="",$H52=""),"",$O52*$I52*$J52*(1-$H52))</f>
        <v/>
      </c>
      <c r="Q52" s="14">
        <f>IF(OR($P52="",$M52=""),"",$P52*$M52)</f>
        <v/>
      </c>
      <c r="R52" s="11" t="n"/>
      <c r="S52" s="13" t="n"/>
      <c r="T52" s="14">
        <f>IF($Q52="","",$Q52+ROW()/1000000)</f>
        <v/>
      </c>
    </row>
    <row r="53">
      <c r="A53" s="11" t="n"/>
      <c r="B53" s="11" t="n"/>
      <c r="C53" s="11" t="n"/>
      <c r="D53" s="13" t="n"/>
      <c r="E53" s="11" t="n"/>
      <c r="F53" s="11" t="n"/>
      <c r="G53" s="11" t="n"/>
      <c r="H53" s="11" t="n"/>
      <c r="I53" s="11" t="n"/>
      <c r="J53" s="11" t="n"/>
      <c r="K53" s="11" t="n"/>
      <c r="L53" s="14">
        <f>IF($C53="","",IFERROR(VLOOKUP($C53,Setup!$A$17:$B$22,2,FALSE),1))</f>
        <v/>
      </c>
      <c r="M53" s="14">
        <f>IF($K53="",$L53,$K53)</f>
        <v/>
      </c>
      <c r="N53" s="14">
        <f>IF(OR($E53="",$F53=""),"",1-(1-$E53)^$F53)</f>
        <v/>
      </c>
      <c r="O53" s="14">
        <f>IF(OR($N53="",$G53=""),"",$N53*$G53)</f>
        <v/>
      </c>
      <c r="P53" s="14">
        <f>IF(OR($O53="",$I53="",$J53="",$H53=""),"",$O53*$I53*$J53*(1-$H53))</f>
        <v/>
      </c>
      <c r="Q53" s="14">
        <f>IF(OR($P53="",$M53=""),"",$P53*$M53)</f>
        <v/>
      </c>
      <c r="R53" s="11" t="n"/>
      <c r="S53" s="13" t="n"/>
      <c r="T53" s="14">
        <f>IF($Q53="","",$Q53+ROW()/1000000)</f>
        <v/>
      </c>
    </row>
    <row r="54">
      <c r="A54" s="11" t="n"/>
      <c r="B54" s="11" t="n"/>
      <c r="C54" s="11" t="n"/>
      <c r="D54" s="13" t="n"/>
      <c r="E54" s="11" t="n"/>
      <c r="F54" s="11" t="n"/>
      <c r="G54" s="11" t="n"/>
      <c r="H54" s="11" t="n"/>
      <c r="I54" s="11" t="n"/>
      <c r="J54" s="11" t="n"/>
      <c r="K54" s="11" t="n"/>
      <c r="L54" s="14">
        <f>IF($C54="","",IFERROR(VLOOKUP($C54,Setup!$A$17:$B$22,2,FALSE),1))</f>
        <v/>
      </c>
      <c r="M54" s="14">
        <f>IF($K54="",$L54,$K54)</f>
        <v/>
      </c>
      <c r="N54" s="14">
        <f>IF(OR($E54="",$F54=""),"",1-(1-$E54)^$F54)</f>
        <v/>
      </c>
      <c r="O54" s="14">
        <f>IF(OR($N54="",$G54=""),"",$N54*$G54)</f>
        <v/>
      </c>
      <c r="P54" s="14">
        <f>IF(OR($O54="",$I54="",$J54="",$H54=""),"",$O54*$I54*$J54*(1-$H54))</f>
        <v/>
      </c>
      <c r="Q54" s="14">
        <f>IF(OR($P54="",$M54=""),"",$P54*$M54)</f>
        <v/>
      </c>
      <c r="R54" s="11" t="n"/>
      <c r="S54" s="13" t="n"/>
      <c r="T54" s="14">
        <f>IF($Q54="","",$Q54+ROW()/1000000)</f>
        <v/>
      </c>
    </row>
    <row r="55">
      <c r="A55" s="11" t="n"/>
      <c r="B55" s="11" t="n"/>
      <c r="C55" s="11" t="n"/>
      <c r="D55" s="13" t="n"/>
      <c r="E55" s="11" t="n"/>
      <c r="F55" s="11" t="n"/>
      <c r="G55" s="11" t="n"/>
      <c r="H55" s="11" t="n"/>
      <c r="I55" s="11" t="n"/>
      <c r="J55" s="11" t="n"/>
      <c r="K55" s="11" t="n"/>
      <c r="L55" s="14">
        <f>IF($C55="","",IFERROR(VLOOKUP($C55,Setup!$A$17:$B$22,2,FALSE),1))</f>
        <v/>
      </c>
      <c r="M55" s="14">
        <f>IF($K55="",$L55,$K55)</f>
        <v/>
      </c>
      <c r="N55" s="14">
        <f>IF(OR($E55="",$F55=""),"",1-(1-$E55)^$F55)</f>
        <v/>
      </c>
      <c r="O55" s="14">
        <f>IF(OR($N55="",$G55=""),"",$N55*$G55)</f>
        <v/>
      </c>
      <c r="P55" s="14">
        <f>IF(OR($O55="",$I55="",$J55="",$H55=""),"",$O55*$I55*$J55*(1-$H55))</f>
        <v/>
      </c>
      <c r="Q55" s="14">
        <f>IF(OR($P55="",$M55=""),"",$P55*$M55)</f>
        <v/>
      </c>
      <c r="R55" s="11" t="n"/>
      <c r="S55" s="13" t="n"/>
      <c r="T55" s="14">
        <f>IF($Q55="","",$Q55+ROW()/1000000)</f>
        <v/>
      </c>
    </row>
    <row r="56">
      <c r="A56" s="11" t="n"/>
      <c r="B56" s="11" t="n"/>
      <c r="C56" s="11" t="n"/>
      <c r="D56" s="13" t="n"/>
      <c r="E56" s="11" t="n"/>
      <c r="F56" s="11" t="n"/>
      <c r="G56" s="11" t="n"/>
      <c r="H56" s="11" t="n"/>
      <c r="I56" s="11" t="n"/>
      <c r="J56" s="11" t="n"/>
      <c r="K56" s="11" t="n"/>
      <c r="L56" s="14">
        <f>IF($C56="","",IFERROR(VLOOKUP($C56,Setup!$A$17:$B$22,2,FALSE),1))</f>
        <v/>
      </c>
      <c r="M56" s="14">
        <f>IF($K56="",$L56,$K56)</f>
        <v/>
      </c>
      <c r="N56" s="14">
        <f>IF(OR($E56="",$F56=""),"",1-(1-$E56)^$F56)</f>
        <v/>
      </c>
      <c r="O56" s="14">
        <f>IF(OR($N56="",$G56=""),"",$N56*$G56)</f>
        <v/>
      </c>
      <c r="P56" s="14">
        <f>IF(OR($O56="",$I56="",$J56="",$H56=""),"",$O56*$I56*$J56*(1-$H56))</f>
        <v/>
      </c>
      <c r="Q56" s="14">
        <f>IF(OR($P56="",$M56=""),"",$P56*$M56)</f>
        <v/>
      </c>
      <c r="R56" s="11" t="n"/>
      <c r="S56" s="13" t="n"/>
      <c r="T56" s="14">
        <f>IF($Q56="","",$Q56+ROW()/1000000)</f>
        <v/>
      </c>
    </row>
    <row r="57">
      <c r="A57" s="11" t="n"/>
      <c r="B57" s="11" t="n"/>
      <c r="C57" s="11" t="n"/>
      <c r="D57" s="13" t="n"/>
      <c r="E57" s="11" t="n"/>
      <c r="F57" s="11" t="n"/>
      <c r="G57" s="11" t="n"/>
      <c r="H57" s="11" t="n"/>
      <c r="I57" s="11" t="n"/>
      <c r="J57" s="11" t="n"/>
      <c r="K57" s="11" t="n"/>
      <c r="L57" s="14">
        <f>IF($C57="","",IFERROR(VLOOKUP($C57,Setup!$A$17:$B$22,2,FALSE),1))</f>
        <v/>
      </c>
      <c r="M57" s="14">
        <f>IF($K57="",$L57,$K57)</f>
        <v/>
      </c>
      <c r="N57" s="14">
        <f>IF(OR($E57="",$F57=""),"",1-(1-$E57)^$F57)</f>
        <v/>
      </c>
      <c r="O57" s="14">
        <f>IF(OR($N57="",$G57=""),"",$N57*$G57)</f>
        <v/>
      </c>
      <c r="P57" s="14">
        <f>IF(OR($O57="",$I57="",$J57="",$H57=""),"",$O57*$I57*$J57*(1-$H57))</f>
        <v/>
      </c>
      <c r="Q57" s="14">
        <f>IF(OR($P57="",$M57=""),"",$P57*$M57)</f>
        <v/>
      </c>
      <c r="R57" s="11" t="n"/>
      <c r="S57" s="13" t="n"/>
      <c r="T57" s="14">
        <f>IF($Q57="","",$Q57+ROW()/1000000)</f>
        <v/>
      </c>
    </row>
    <row r="58">
      <c r="A58" s="11" t="n"/>
      <c r="B58" s="11" t="n"/>
      <c r="C58" s="11" t="n"/>
      <c r="D58" s="13" t="n"/>
      <c r="E58" s="11" t="n"/>
      <c r="F58" s="11" t="n"/>
      <c r="G58" s="11" t="n"/>
      <c r="H58" s="11" t="n"/>
      <c r="I58" s="11" t="n"/>
      <c r="J58" s="11" t="n"/>
      <c r="K58" s="11" t="n"/>
      <c r="L58" s="14">
        <f>IF($C58="","",IFERROR(VLOOKUP($C58,Setup!$A$17:$B$22,2,FALSE),1))</f>
        <v/>
      </c>
      <c r="M58" s="14">
        <f>IF($K58="",$L58,$K58)</f>
        <v/>
      </c>
      <c r="N58" s="14">
        <f>IF(OR($E58="",$F58=""),"",1-(1-$E58)^$F58)</f>
        <v/>
      </c>
      <c r="O58" s="14">
        <f>IF(OR($N58="",$G58=""),"",$N58*$G58)</f>
        <v/>
      </c>
      <c r="P58" s="14">
        <f>IF(OR($O58="",$I58="",$J58="",$H58=""),"",$O58*$I58*$J58*(1-$H58))</f>
        <v/>
      </c>
      <c r="Q58" s="14">
        <f>IF(OR($P58="",$M58=""),"",$P58*$M58)</f>
        <v/>
      </c>
      <c r="R58" s="11" t="n"/>
      <c r="S58" s="13" t="n"/>
      <c r="T58" s="14">
        <f>IF($Q58="","",$Q58+ROW()/1000000)</f>
        <v/>
      </c>
    </row>
    <row r="59">
      <c r="A59" s="11" t="n"/>
      <c r="B59" s="11" t="n"/>
      <c r="C59" s="11" t="n"/>
      <c r="D59" s="13" t="n"/>
      <c r="E59" s="11" t="n"/>
      <c r="F59" s="11" t="n"/>
      <c r="G59" s="11" t="n"/>
      <c r="H59" s="11" t="n"/>
      <c r="I59" s="11" t="n"/>
      <c r="J59" s="11" t="n"/>
      <c r="K59" s="11" t="n"/>
      <c r="L59" s="14">
        <f>IF($C59="","",IFERROR(VLOOKUP($C59,Setup!$A$17:$B$22,2,FALSE),1))</f>
        <v/>
      </c>
      <c r="M59" s="14">
        <f>IF($K59="",$L59,$K59)</f>
        <v/>
      </c>
      <c r="N59" s="14">
        <f>IF(OR($E59="",$F59=""),"",1-(1-$E59)^$F59)</f>
        <v/>
      </c>
      <c r="O59" s="14">
        <f>IF(OR($N59="",$G59=""),"",$N59*$G59)</f>
        <v/>
      </c>
      <c r="P59" s="14">
        <f>IF(OR($O59="",$I59="",$J59="",$H59=""),"",$O59*$I59*$J59*(1-$H59))</f>
        <v/>
      </c>
      <c r="Q59" s="14">
        <f>IF(OR($P59="",$M59=""),"",$P59*$M59)</f>
        <v/>
      </c>
      <c r="R59" s="11" t="n"/>
      <c r="S59" s="13" t="n"/>
      <c r="T59" s="14">
        <f>IF($Q59="","",$Q59+ROW()/1000000)</f>
        <v/>
      </c>
    </row>
    <row r="60">
      <c r="A60" s="11" t="n"/>
      <c r="B60" s="11" t="n"/>
      <c r="C60" s="11" t="n"/>
      <c r="D60" s="13" t="n"/>
      <c r="E60" s="11" t="n"/>
      <c r="F60" s="11" t="n"/>
      <c r="G60" s="11" t="n"/>
      <c r="H60" s="11" t="n"/>
      <c r="I60" s="11" t="n"/>
      <c r="J60" s="11" t="n"/>
      <c r="K60" s="11" t="n"/>
      <c r="L60" s="14">
        <f>IF($C60="","",IFERROR(VLOOKUP($C60,Setup!$A$17:$B$22,2,FALSE),1))</f>
        <v/>
      </c>
      <c r="M60" s="14">
        <f>IF($K60="",$L60,$K60)</f>
        <v/>
      </c>
      <c r="N60" s="14">
        <f>IF(OR($E60="",$F60=""),"",1-(1-$E60)^$F60)</f>
        <v/>
      </c>
      <c r="O60" s="14">
        <f>IF(OR($N60="",$G60=""),"",$N60*$G60)</f>
        <v/>
      </c>
      <c r="P60" s="14">
        <f>IF(OR($O60="",$I60="",$J60="",$H60=""),"",$O60*$I60*$J60*(1-$H60))</f>
        <v/>
      </c>
      <c r="Q60" s="14">
        <f>IF(OR($P60="",$M60=""),"",$P60*$M60)</f>
        <v/>
      </c>
      <c r="R60" s="11" t="n"/>
      <c r="S60" s="13" t="n"/>
      <c r="T60" s="14">
        <f>IF($Q60="","",$Q60+ROW()/1000000)</f>
        <v/>
      </c>
    </row>
    <row r="61">
      <c r="A61" s="11" t="n"/>
      <c r="B61" s="11" t="n"/>
      <c r="C61" s="11" t="n"/>
      <c r="D61" s="13" t="n"/>
      <c r="E61" s="11" t="n"/>
      <c r="F61" s="11" t="n"/>
      <c r="G61" s="11" t="n"/>
      <c r="H61" s="11" t="n"/>
      <c r="I61" s="11" t="n"/>
      <c r="J61" s="11" t="n"/>
      <c r="K61" s="11" t="n"/>
      <c r="L61" s="14">
        <f>IF($C61="","",IFERROR(VLOOKUP($C61,Setup!$A$17:$B$22,2,FALSE),1))</f>
        <v/>
      </c>
      <c r="M61" s="14">
        <f>IF($K61="",$L61,$K61)</f>
        <v/>
      </c>
      <c r="N61" s="14">
        <f>IF(OR($E61="",$F61=""),"",1-(1-$E61)^$F61)</f>
        <v/>
      </c>
      <c r="O61" s="14">
        <f>IF(OR($N61="",$G61=""),"",$N61*$G61)</f>
        <v/>
      </c>
      <c r="P61" s="14">
        <f>IF(OR($O61="",$I61="",$J61="",$H61=""),"",$O61*$I61*$J61*(1-$H61))</f>
        <v/>
      </c>
      <c r="Q61" s="14">
        <f>IF(OR($P61="",$M61=""),"",$P61*$M61)</f>
        <v/>
      </c>
      <c r="R61" s="11" t="n"/>
      <c r="S61" s="13" t="n"/>
      <c r="T61" s="14">
        <f>IF($Q61="","",$Q61+ROW()/1000000)</f>
        <v/>
      </c>
    </row>
    <row r="62">
      <c r="A62" s="11" t="n"/>
      <c r="B62" s="11" t="n"/>
      <c r="C62" s="11" t="n"/>
      <c r="D62" s="13" t="n"/>
      <c r="E62" s="11" t="n"/>
      <c r="F62" s="11" t="n"/>
      <c r="G62" s="11" t="n"/>
      <c r="H62" s="11" t="n"/>
      <c r="I62" s="11" t="n"/>
      <c r="J62" s="11" t="n"/>
      <c r="K62" s="11" t="n"/>
      <c r="L62" s="14">
        <f>IF($C62="","",IFERROR(VLOOKUP($C62,Setup!$A$17:$B$22,2,FALSE),1))</f>
        <v/>
      </c>
      <c r="M62" s="14">
        <f>IF($K62="",$L62,$K62)</f>
        <v/>
      </c>
      <c r="N62" s="14">
        <f>IF(OR($E62="",$F62=""),"",1-(1-$E62)^$F62)</f>
        <v/>
      </c>
      <c r="O62" s="14">
        <f>IF(OR($N62="",$G62=""),"",$N62*$G62)</f>
        <v/>
      </c>
      <c r="P62" s="14">
        <f>IF(OR($O62="",$I62="",$J62="",$H62=""),"",$O62*$I62*$J62*(1-$H62))</f>
        <v/>
      </c>
      <c r="Q62" s="14">
        <f>IF(OR($P62="",$M62=""),"",$P62*$M62)</f>
        <v/>
      </c>
      <c r="R62" s="11" t="n"/>
      <c r="S62" s="13" t="n"/>
      <c r="T62" s="14">
        <f>IF($Q62="","",$Q62+ROW()/1000000)</f>
        <v/>
      </c>
    </row>
    <row r="63">
      <c r="A63" s="11" t="n"/>
      <c r="B63" s="11" t="n"/>
      <c r="C63" s="11" t="n"/>
      <c r="D63" s="13" t="n"/>
      <c r="E63" s="11" t="n"/>
      <c r="F63" s="11" t="n"/>
      <c r="G63" s="11" t="n"/>
      <c r="H63" s="11" t="n"/>
      <c r="I63" s="11" t="n"/>
      <c r="J63" s="11" t="n"/>
      <c r="K63" s="11" t="n"/>
      <c r="L63" s="14">
        <f>IF($C63="","",IFERROR(VLOOKUP($C63,Setup!$A$17:$B$22,2,FALSE),1))</f>
        <v/>
      </c>
      <c r="M63" s="14">
        <f>IF($K63="",$L63,$K63)</f>
        <v/>
      </c>
      <c r="N63" s="14">
        <f>IF(OR($E63="",$F63=""),"",1-(1-$E63)^$F63)</f>
        <v/>
      </c>
      <c r="O63" s="14">
        <f>IF(OR($N63="",$G63=""),"",$N63*$G63)</f>
        <v/>
      </c>
      <c r="P63" s="14">
        <f>IF(OR($O63="",$I63="",$J63="",$H63=""),"",$O63*$I63*$J63*(1-$H63))</f>
        <v/>
      </c>
      <c r="Q63" s="14">
        <f>IF(OR($P63="",$M63=""),"",$P63*$M63)</f>
        <v/>
      </c>
      <c r="R63" s="11" t="n"/>
      <c r="S63" s="13" t="n"/>
      <c r="T63" s="14">
        <f>IF($Q63="","",$Q63+ROW()/1000000)</f>
        <v/>
      </c>
    </row>
    <row r="64">
      <c r="A64" s="11" t="n"/>
      <c r="B64" s="11" t="n"/>
      <c r="C64" s="11" t="n"/>
      <c r="D64" s="13" t="n"/>
      <c r="E64" s="11" t="n"/>
      <c r="F64" s="11" t="n"/>
      <c r="G64" s="11" t="n"/>
      <c r="H64" s="11" t="n"/>
      <c r="I64" s="11" t="n"/>
      <c r="J64" s="11" t="n"/>
      <c r="K64" s="11" t="n"/>
      <c r="L64" s="14">
        <f>IF($C64="","",IFERROR(VLOOKUP($C64,Setup!$A$17:$B$22,2,FALSE),1))</f>
        <v/>
      </c>
      <c r="M64" s="14">
        <f>IF($K64="",$L64,$K64)</f>
        <v/>
      </c>
      <c r="N64" s="14">
        <f>IF(OR($E64="",$F64=""),"",1-(1-$E64)^$F64)</f>
        <v/>
      </c>
      <c r="O64" s="14">
        <f>IF(OR($N64="",$G64=""),"",$N64*$G64)</f>
        <v/>
      </c>
      <c r="P64" s="14">
        <f>IF(OR($O64="",$I64="",$J64="",$H64=""),"",$O64*$I64*$J64*(1-$H64))</f>
        <v/>
      </c>
      <c r="Q64" s="14">
        <f>IF(OR($P64="",$M64=""),"",$P64*$M64)</f>
        <v/>
      </c>
      <c r="R64" s="11" t="n"/>
      <c r="S64" s="13" t="n"/>
      <c r="T64" s="14">
        <f>IF($Q64="","",$Q64+ROW()/1000000)</f>
        <v/>
      </c>
    </row>
    <row r="65">
      <c r="A65" s="11" t="n"/>
      <c r="B65" s="11" t="n"/>
      <c r="C65" s="11" t="n"/>
      <c r="D65" s="13" t="n"/>
      <c r="E65" s="11" t="n"/>
      <c r="F65" s="11" t="n"/>
      <c r="G65" s="11" t="n"/>
      <c r="H65" s="11" t="n"/>
      <c r="I65" s="11" t="n"/>
      <c r="J65" s="11" t="n"/>
      <c r="K65" s="11" t="n"/>
      <c r="L65" s="14">
        <f>IF($C65="","",IFERROR(VLOOKUP($C65,Setup!$A$17:$B$22,2,FALSE),1))</f>
        <v/>
      </c>
      <c r="M65" s="14">
        <f>IF($K65="",$L65,$K65)</f>
        <v/>
      </c>
      <c r="N65" s="14">
        <f>IF(OR($E65="",$F65=""),"",1-(1-$E65)^$F65)</f>
        <v/>
      </c>
      <c r="O65" s="14">
        <f>IF(OR($N65="",$G65=""),"",$N65*$G65)</f>
        <v/>
      </c>
      <c r="P65" s="14">
        <f>IF(OR($O65="",$I65="",$J65="",$H65=""),"",$O65*$I65*$J65*(1-$H65))</f>
        <v/>
      </c>
      <c r="Q65" s="14">
        <f>IF(OR($P65="",$M65=""),"",$P65*$M65)</f>
        <v/>
      </c>
      <c r="R65" s="11" t="n"/>
      <c r="S65" s="13" t="n"/>
      <c r="T65" s="14">
        <f>IF($Q65="","",$Q65+ROW()/1000000)</f>
        <v/>
      </c>
    </row>
    <row r="66">
      <c r="A66" s="11" t="n"/>
      <c r="B66" s="11" t="n"/>
      <c r="C66" s="11" t="n"/>
      <c r="D66" s="13" t="n"/>
      <c r="E66" s="11" t="n"/>
      <c r="F66" s="11" t="n"/>
      <c r="G66" s="11" t="n"/>
      <c r="H66" s="11" t="n"/>
      <c r="I66" s="11" t="n"/>
      <c r="J66" s="11" t="n"/>
      <c r="K66" s="11" t="n"/>
      <c r="L66" s="14">
        <f>IF($C66="","",IFERROR(VLOOKUP($C66,Setup!$A$17:$B$22,2,FALSE),1))</f>
        <v/>
      </c>
      <c r="M66" s="14">
        <f>IF($K66="",$L66,$K66)</f>
        <v/>
      </c>
      <c r="N66" s="14">
        <f>IF(OR($E66="",$F66=""),"",1-(1-$E66)^$F66)</f>
        <v/>
      </c>
      <c r="O66" s="14">
        <f>IF(OR($N66="",$G66=""),"",$N66*$G66)</f>
        <v/>
      </c>
      <c r="P66" s="14">
        <f>IF(OR($O66="",$I66="",$J66="",$H66=""),"",$O66*$I66*$J66*(1-$H66))</f>
        <v/>
      </c>
      <c r="Q66" s="14">
        <f>IF(OR($P66="",$M66=""),"",$P66*$M66)</f>
        <v/>
      </c>
      <c r="R66" s="11" t="n"/>
      <c r="S66" s="13" t="n"/>
      <c r="T66" s="14">
        <f>IF($Q66="","",$Q66+ROW()/1000000)</f>
        <v/>
      </c>
    </row>
    <row r="67">
      <c r="A67" s="11" t="n"/>
      <c r="B67" s="11" t="n"/>
      <c r="C67" s="11" t="n"/>
      <c r="D67" s="13" t="n"/>
      <c r="E67" s="11" t="n"/>
      <c r="F67" s="11" t="n"/>
      <c r="G67" s="11" t="n"/>
      <c r="H67" s="11" t="n"/>
      <c r="I67" s="11" t="n"/>
      <c r="J67" s="11" t="n"/>
      <c r="K67" s="11" t="n"/>
      <c r="L67" s="14">
        <f>IF($C67="","",IFERROR(VLOOKUP($C67,Setup!$A$17:$B$22,2,FALSE),1))</f>
        <v/>
      </c>
      <c r="M67" s="14">
        <f>IF($K67="",$L67,$K67)</f>
        <v/>
      </c>
      <c r="N67" s="14">
        <f>IF(OR($E67="",$F67=""),"",1-(1-$E67)^$F67)</f>
        <v/>
      </c>
      <c r="O67" s="14">
        <f>IF(OR($N67="",$G67=""),"",$N67*$G67)</f>
        <v/>
      </c>
      <c r="P67" s="14">
        <f>IF(OR($O67="",$I67="",$J67="",$H67=""),"",$O67*$I67*$J67*(1-$H67))</f>
        <v/>
      </c>
      <c r="Q67" s="14">
        <f>IF(OR($P67="",$M67=""),"",$P67*$M67)</f>
        <v/>
      </c>
      <c r="R67" s="11" t="n"/>
      <c r="S67" s="13" t="n"/>
      <c r="T67" s="14">
        <f>IF($Q67="","",$Q67+ROW()/1000000)</f>
        <v/>
      </c>
    </row>
    <row r="68">
      <c r="A68" s="11" t="n"/>
      <c r="B68" s="11" t="n"/>
      <c r="C68" s="11" t="n"/>
      <c r="D68" s="13" t="n"/>
      <c r="E68" s="11" t="n"/>
      <c r="F68" s="11" t="n"/>
      <c r="G68" s="11" t="n"/>
      <c r="H68" s="11" t="n"/>
      <c r="I68" s="11" t="n"/>
      <c r="J68" s="11" t="n"/>
      <c r="K68" s="11" t="n"/>
      <c r="L68" s="14">
        <f>IF($C68="","",IFERROR(VLOOKUP($C68,Setup!$A$17:$B$22,2,FALSE),1))</f>
        <v/>
      </c>
      <c r="M68" s="14">
        <f>IF($K68="",$L68,$K68)</f>
        <v/>
      </c>
      <c r="N68" s="14">
        <f>IF(OR($E68="",$F68=""),"",1-(1-$E68)^$F68)</f>
        <v/>
      </c>
      <c r="O68" s="14">
        <f>IF(OR($N68="",$G68=""),"",$N68*$G68)</f>
        <v/>
      </c>
      <c r="P68" s="14">
        <f>IF(OR($O68="",$I68="",$J68="",$H68=""),"",$O68*$I68*$J68*(1-$H68))</f>
        <v/>
      </c>
      <c r="Q68" s="14">
        <f>IF(OR($P68="",$M68=""),"",$P68*$M68)</f>
        <v/>
      </c>
      <c r="R68" s="11" t="n"/>
      <c r="S68" s="13" t="n"/>
      <c r="T68" s="14">
        <f>IF($Q68="","",$Q68+ROW()/1000000)</f>
        <v/>
      </c>
    </row>
    <row r="69">
      <c r="A69" s="11" t="n"/>
      <c r="B69" s="11" t="n"/>
      <c r="C69" s="11" t="n"/>
      <c r="D69" s="13" t="n"/>
      <c r="E69" s="11" t="n"/>
      <c r="F69" s="11" t="n"/>
      <c r="G69" s="11" t="n"/>
      <c r="H69" s="11" t="n"/>
      <c r="I69" s="11" t="n"/>
      <c r="J69" s="11" t="n"/>
      <c r="K69" s="11" t="n"/>
      <c r="L69" s="14">
        <f>IF($C69="","",IFERROR(VLOOKUP($C69,Setup!$A$17:$B$22,2,FALSE),1))</f>
        <v/>
      </c>
      <c r="M69" s="14">
        <f>IF($K69="",$L69,$K69)</f>
        <v/>
      </c>
      <c r="N69" s="14">
        <f>IF(OR($E69="",$F69=""),"",1-(1-$E69)^$F69)</f>
        <v/>
      </c>
      <c r="O69" s="14">
        <f>IF(OR($N69="",$G69=""),"",$N69*$G69)</f>
        <v/>
      </c>
      <c r="P69" s="14">
        <f>IF(OR($O69="",$I69="",$J69="",$H69=""),"",$O69*$I69*$J69*(1-$H69))</f>
        <v/>
      </c>
      <c r="Q69" s="14">
        <f>IF(OR($P69="",$M69=""),"",$P69*$M69)</f>
        <v/>
      </c>
      <c r="R69" s="11" t="n"/>
      <c r="S69" s="13" t="n"/>
      <c r="T69" s="14">
        <f>IF($Q69="","",$Q69+ROW()/1000000)</f>
        <v/>
      </c>
    </row>
    <row r="70">
      <c r="A70" s="11" t="n"/>
      <c r="B70" s="11" t="n"/>
      <c r="C70" s="11" t="n"/>
      <c r="D70" s="13" t="n"/>
      <c r="E70" s="11" t="n"/>
      <c r="F70" s="11" t="n"/>
      <c r="G70" s="11" t="n"/>
      <c r="H70" s="11" t="n"/>
      <c r="I70" s="11" t="n"/>
      <c r="J70" s="11" t="n"/>
      <c r="K70" s="11" t="n"/>
      <c r="L70" s="14">
        <f>IF($C70="","",IFERROR(VLOOKUP($C70,Setup!$A$17:$B$22,2,FALSE),1))</f>
        <v/>
      </c>
      <c r="M70" s="14">
        <f>IF($K70="",$L70,$K70)</f>
        <v/>
      </c>
      <c r="N70" s="14">
        <f>IF(OR($E70="",$F70=""),"",1-(1-$E70)^$F70)</f>
        <v/>
      </c>
      <c r="O70" s="14">
        <f>IF(OR($N70="",$G70=""),"",$N70*$G70)</f>
        <v/>
      </c>
      <c r="P70" s="14">
        <f>IF(OR($O70="",$I70="",$J70="",$H70=""),"",$O70*$I70*$J70*(1-$H70))</f>
        <v/>
      </c>
      <c r="Q70" s="14">
        <f>IF(OR($P70="",$M70=""),"",$P70*$M70)</f>
        <v/>
      </c>
      <c r="R70" s="11" t="n"/>
      <c r="S70" s="13" t="n"/>
      <c r="T70" s="14">
        <f>IF($Q70="","",$Q70+ROW()/1000000)</f>
        <v/>
      </c>
    </row>
    <row r="71">
      <c r="A71" s="11" t="n"/>
      <c r="B71" s="11" t="n"/>
      <c r="C71" s="11" t="n"/>
      <c r="D71" s="13" t="n"/>
      <c r="E71" s="11" t="n"/>
      <c r="F71" s="11" t="n"/>
      <c r="G71" s="11" t="n"/>
      <c r="H71" s="11" t="n"/>
      <c r="I71" s="11" t="n"/>
      <c r="J71" s="11" t="n"/>
      <c r="K71" s="11" t="n"/>
      <c r="L71" s="14">
        <f>IF($C71="","",IFERROR(VLOOKUP($C71,Setup!$A$17:$B$22,2,FALSE),1))</f>
        <v/>
      </c>
      <c r="M71" s="14">
        <f>IF($K71="",$L71,$K71)</f>
        <v/>
      </c>
      <c r="N71" s="14">
        <f>IF(OR($E71="",$F71=""),"",1-(1-$E71)^$F71)</f>
        <v/>
      </c>
      <c r="O71" s="14">
        <f>IF(OR($N71="",$G71=""),"",$N71*$G71)</f>
        <v/>
      </c>
      <c r="P71" s="14">
        <f>IF(OR($O71="",$I71="",$J71="",$H71=""),"",$O71*$I71*$J71*(1-$H71))</f>
        <v/>
      </c>
      <c r="Q71" s="14">
        <f>IF(OR($P71="",$M71=""),"",$P71*$M71)</f>
        <v/>
      </c>
      <c r="R71" s="11" t="n"/>
      <c r="S71" s="13" t="n"/>
      <c r="T71" s="14">
        <f>IF($Q71="","",$Q71+ROW()/1000000)</f>
        <v/>
      </c>
    </row>
    <row r="72">
      <c r="A72" s="11" t="n"/>
      <c r="B72" s="11" t="n"/>
      <c r="C72" s="11" t="n"/>
      <c r="D72" s="13" t="n"/>
      <c r="E72" s="11" t="n"/>
      <c r="F72" s="11" t="n"/>
      <c r="G72" s="11" t="n"/>
      <c r="H72" s="11" t="n"/>
      <c r="I72" s="11" t="n"/>
      <c r="J72" s="11" t="n"/>
      <c r="K72" s="11" t="n"/>
      <c r="L72" s="14">
        <f>IF($C72="","",IFERROR(VLOOKUP($C72,Setup!$A$17:$B$22,2,FALSE),1))</f>
        <v/>
      </c>
      <c r="M72" s="14">
        <f>IF($K72="",$L72,$K72)</f>
        <v/>
      </c>
      <c r="N72" s="14">
        <f>IF(OR($E72="",$F72=""),"",1-(1-$E72)^$F72)</f>
        <v/>
      </c>
      <c r="O72" s="14">
        <f>IF(OR($N72="",$G72=""),"",$N72*$G72)</f>
        <v/>
      </c>
      <c r="P72" s="14">
        <f>IF(OR($O72="",$I72="",$J72="",$H72=""),"",$O72*$I72*$J72*(1-$H72))</f>
        <v/>
      </c>
      <c r="Q72" s="14">
        <f>IF(OR($P72="",$M72=""),"",$P72*$M72)</f>
        <v/>
      </c>
      <c r="R72" s="11" t="n"/>
      <c r="S72" s="13" t="n"/>
      <c r="T72" s="14">
        <f>IF($Q72="","",$Q72+ROW()/1000000)</f>
        <v/>
      </c>
    </row>
    <row r="73">
      <c r="A73" s="11" t="n"/>
      <c r="B73" s="11" t="n"/>
      <c r="C73" s="11" t="n"/>
      <c r="D73" s="13" t="n"/>
      <c r="E73" s="11" t="n"/>
      <c r="F73" s="11" t="n"/>
      <c r="G73" s="11" t="n"/>
      <c r="H73" s="11" t="n"/>
      <c r="I73" s="11" t="n"/>
      <c r="J73" s="11" t="n"/>
      <c r="K73" s="11" t="n"/>
      <c r="L73" s="14">
        <f>IF($C73="","",IFERROR(VLOOKUP($C73,Setup!$A$17:$B$22,2,FALSE),1))</f>
        <v/>
      </c>
      <c r="M73" s="14">
        <f>IF($K73="",$L73,$K73)</f>
        <v/>
      </c>
      <c r="N73" s="14">
        <f>IF(OR($E73="",$F73=""),"",1-(1-$E73)^$F73)</f>
        <v/>
      </c>
      <c r="O73" s="14">
        <f>IF(OR($N73="",$G73=""),"",$N73*$G73)</f>
        <v/>
      </c>
      <c r="P73" s="14">
        <f>IF(OR($O73="",$I73="",$J73="",$H73=""),"",$O73*$I73*$J73*(1-$H73))</f>
        <v/>
      </c>
      <c r="Q73" s="14">
        <f>IF(OR($P73="",$M73=""),"",$P73*$M73)</f>
        <v/>
      </c>
      <c r="R73" s="11" t="n"/>
      <c r="S73" s="13" t="n"/>
      <c r="T73" s="14">
        <f>IF($Q73="","",$Q73+ROW()/1000000)</f>
        <v/>
      </c>
    </row>
    <row r="74">
      <c r="A74" s="11" t="n"/>
      <c r="B74" s="11" t="n"/>
      <c r="C74" s="11" t="n"/>
      <c r="D74" s="13" t="n"/>
      <c r="E74" s="11" t="n"/>
      <c r="F74" s="11" t="n"/>
      <c r="G74" s="11" t="n"/>
      <c r="H74" s="11" t="n"/>
      <c r="I74" s="11" t="n"/>
      <c r="J74" s="11" t="n"/>
      <c r="K74" s="11" t="n"/>
      <c r="L74" s="14">
        <f>IF($C74="","",IFERROR(VLOOKUP($C74,Setup!$A$17:$B$22,2,FALSE),1))</f>
        <v/>
      </c>
      <c r="M74" s="14">
        <f>IF($K74="",$L74,$K74)</f>
        <v/>
      </c>
      <c r="N74" s="14">
        <f>IF(OR($E74="",$F74=""),"",1-(1-$E74)^$F74)</f>
        <v/>
      </c>
      <c r="O74" s="14">
        <f>IF(OR($N74="",$G74=""),"",$N74*$G74)</f>
        <v/>
      </c>
      <c r="P74" s="14">
        <f>IF(OR($O74="",$I74="",$J74="",$H74=""),"",$O74*$I74*$J74*(1-$H74))</f>
        <v/>
      </c>
      <c r="Q74" s="14">
        <f>IF(OR($P74="",$M74=""),"",$P74*$M74)</f>
        <v/>
      </c>
      <c r="R74" s="11" t="n"/>
      <c r="S74" s="13" t="n"/>
      <c r="T74" s="14">
        <f>IF($Q74="","",$Q74+ROW()/1000000)</f>
        <v/>
      </c>
    </row>
    <row r="75">
      <c r="A75" s="11" t="n"/>
      <c r="B75" s="11" t="n"/>
      <c r="C75" s="11" t="n"/>
      <c r="D75" s="13" t="n"/>
      <c r="E75" s="11" t="n"/>
      <c r="F75" s="11" t="n"/>
      <c r="G75" s="11" t="n"/>
      <c r="H75" s="11" t="n"/>
      <c r="I75" s="11" t="n"/>
      <c r="J75" s="11" t="n"/>
      <c r="K75" s="11" t="n"/>
      <c r="L75" s="14">
        <f>IF($C75="","",IFERROR(VLOOKUP($C75,Setup!$A$17:$B$22,2,FALSE),1))</f>
        <v/>
      </c>
      <c r="M75" s="14">
        <f>IF($K75="",$L75,$K75)</f>
        <v/>
      </c>
      <c r="N75" s="14">
        <f>IF(OR($E75="",$F75=""),"",1-(1-$E75)^$F75)</f>
        <v/>
      </c>
      <c r="O75" s="14">
        <f>IF(OR($N75="",$G75=""),"",$N75*$G75)</f>
        <v/>
      </c>
      <c r="P75" s="14">
        <f>IF(OR($O75="",$I75="",$J75="",$H75=""),"",$O75*$I75*$J75*(1-$H75))</f>
        <v/>
      </c>
      <c r="Q75" s="14">
        <f>IF(OR($P75="",$M75=""),"",$P75*$M75)</f>
        <v/>
      </c>
      <c r="R75" s="11" t="n"/>
      <c r="S75" s="13" t="n"/>
      <c r="T75" s="14">
        <f>IF($Q75="","",$Q75+ROW()/1000000)</f>
        <v/>
      </c>
    </row>
    <row r="76">
      <c r="A76" s="11" t="n"/>
      <c r="B76" s="11" t="n"/>
      <c r="C76" s="11" t="n"/>
      <c r="D76" s="13" t="n"/>
      <c r="E76" s="11" t="n"/>
      <c r="F76" s="11" t="n"/>
      <c r="G76" s="11" t="n"/>
      <c r="H76" s="11" t="n"/>
      <c r="I76" s="11" t="n"/>
      <c r="J76" s="11" t="n"/>
      <c r="K76" s="11" t="n"/>
      <c r="L76" s="14">
        <f>IF($C76="","",IFERROR(VLOOKUP($C76,Setup!$A$17:$B$22,2,FALSE),1))</f>
        <v/>
      </c>
      <c r="M76" s="14">
        <f>IF($K76="",$L76,$K76)</f>
        <v/>
      </c>
      <c r="N76" s="14">
        <f>IF(OR($E76="",$F76=""),"",1-(1-$E76)^$F76)</f>
        <v/>
      </c>
      <c r="O76" s="14">
        <f>IF(OR($N76="",$G76=""),"",$N76*$G76)</f>
        <v/>
      </c>
      <c r="P76" s="14">
        <f>IF(OR($O76="",$I76="",$J76="",$H76=""),"",$O76*$I76*$J76*(1-$H76))</f>
        <v/>
      </c>
      <c r="Q76" s="14">
        <f>IF(OR($P76="",$M76=""),"",$P76*$M76)</f>
        <v/>
      </c>
      <c r="R76" s="11" t="n"/>
      <c r="S76" s="13" t="n"/>
      <c r="T76" s="14">
        <f>IF($Q76="","",$Q76+ROW()/1000000)</f>
        <v/>
      </c>
    </row>
    <row r="77">
      <c r="A77" s="11" t="n"/>
      <c r="B77" s="11" t="n"/>
      <c r="C77" s="11" t="n"/>
      <c r="D77" s="13" t="n"/>
      <c r="E77" s="11" t="n"/>
      <c r="F77" s="11" t="n"/>
      <c r="G77" s="11" t="n"/>
      <c r="H77" s="11" t="n"/>
      <c r="I77" s="11" t="n"/>
      <c r="J77" s="11" t="n"/>
      <c r="K77" s="11" t="n"/>
      <c r="L77" s="14">
        <f>IF($C77="","",IFERROR(VLOOKUP($C77,Setup!$A$17:$B$22,2,FALSE),1))</f>
        <v/>
      </c>
      <c r="M77" s="14">
        <f>IF($K77="",$L77,$K77)</f>
        <v/>
      </c>
      <c r="N77" s="14">
        <f>IF(OR($E77="",$F77=""),"",1-(1-$E77)^$F77)</f>
        <v/>
      </c>
      <c r="O77" s="14">
        <f>IF(OR($N77="",$G77=""),"",$N77*$G77)</f>
        <v/>
      </c>
      <c r="P77" s="14">
        <f>IF(OR($O77="",$I77="",$J77="",$H77=""),"",$O77*$I77*$J77*(1-$H77))</f>
        <v/>
      </c>
      <c r="Q77" s="14">
        <f>IF(OR($P77="",$M77=""),"",$P77*$M77)</f>
        <v/>
      </c>
      <c r="R77" s="11" t="n"/>
      <c r="S77" s="13" t="n"/>
      <c r="T77" s="14">
        <f>IF($Q77="","",$Q77+ROW()/1000000)</f>
        <v/>
      </c>
    </row>
    <row r="78">
      <c r="A78" s="11" t="n"/>
      <c r="B78" s="11" t="n"/>
      <c r="C78" s="11" t="n"/>
      <c r="D78" s="13" t="n"/>
      <c r="E78" s="11" t="n"/>
      <c r="F78" s="11" t="n"/>
      <c r="G78" s="11" t="n"/>
      <c r="H78" s="11" t="n"/>
      <c r="I78" s="11" t="n"/>
      <c r="J78" s="11" t="n"/>
      <c r="K78" s="11" t="n"/>
      <c r="L78" s="14">
        <f>IF($C78="","",IFERROR(VLOOKUP($C78,Setup!$A$17:$B$22,2,FALSE),1))</f>
        <v/>
      </c>
      <c r="M78" s="14">
        <f>IF($K78="",$L78,$K78)</f>
        <v/>
      </c>
      <c r="N78" s="14">
        <f>IF(OR($E78="",$F78=""),"",1-(1-$E78)^$F78)</f>
        <v/>
      </c>
      <c r="O78" s="14">
        <f>IF(OR($N78="",$G78=""),"",$N78*$G78)</f>
        <v/>
      </c>
      <c r="P78" s="14">
        <f>IF(OR($O78="",$I78="",$J78="",$H78=""),"",$O78*$I78*$J78*(1-$H78))</f>
        <v/>
      </c>
      <c r="Q78" s="14">
        <f>IF(OR($P78="",$M78=""),"",$P78*$M78)</f>
        <v/>
      </c>
      <c r="R78" s="11" t="n"/>
      <c r="S78" s="13" t="n"/>
      <c r="T78" s="14">
        <f>IF($Q78="","",$Q78+ROW()/1000000)</f>
        <v/>
      </c>
    </row>
    <row r="79">
      <c r="A79" s="11" t="n"/>
      <c r="B79" s="11" t="n"/>
      <c r="C79" s="11" t="n"/>
      <c r="D79" s="13" t="n"/>
      <c r="E79" s="11" t="n"/>
      <c r="F79" s="11" t="n"/>
      <c r="G79" s="11" t="n"/>
      <c r="H79" s="11" t="n"/>
      <c r="I79" s="11" t="n"/>
      <c r="J79" s="11" t="n"/>
      <c r="K79" s="11" t="n"/>
      <c r="L79" s="14">
        <f>IF($C79="","",IFERROR(VLOOKUP($C79,Setup!$A$17:$B$22,2,FALSE),1))</f>
        <v/>
      </c>
      <c r="M79" s="14">
        <f>IF($K79="",$L79,$K79)</f>
        <v/>
      </c>
      <c r="N79" s="14">
        <f>IF(OR($E79="",$F79=""),"",1-(1-$E79)^$F79)</f>
        <v/>
      </c>
      <c r="O79" s="14">
        <f>IF(OR($N79="",$G79=""),"",$N79*$G79)</f>
        <v/>
      </c>
      <c r="P79" s="14">
        <f>IF(OR($O79="",$I79="",$J79="",$H79=""),"",$O79*$I79*$J79*(1-$H79))</f>
        <v/>
      </c>
      <c r="Q79" s="14">
        <f>IF(OR($P79="",$M79=""),"",$P79*$M79)</f>
        <v/>
      </c>
      <c r="R79" s="11" t="n"/>
      <c r="S79" s="13" t="n"/>
      <c r="T79" s="14">
        <f>IF($Q79="","",$Q79+ROW()/1000000)</f>
        <v/>
      </c>
    </row>
    <row r="80">
      <c r="A80" s="11" t="n"/>
      <c r="B80" s="11" t="n"/>
      <c r="C80" s="11" t="n"/>
      <c r="D80" s="13" t="n"/>
      <c r="E80" s="11" t="n"/>
      <c r="F80" s="11" t="n"/>
      <c r="G80" s="11" t="n"/>
      <c r="H80" s="11" t="n"/>
      <c r="I80" s="11" t="n"/>
      <c r="J80" s="11" t="n"/>
      <c r="K80" s="11" t="n"/>
      <c r="L80" s="14">
        <f>IF($C80="","",IFERROR(VLOOKUP($C80,Setup!$A$17:$B$22,2,FALSE),1))</f>
        <v/>
      </c>
      <c r="M80" s="14">
        <f>IF($K80="",$L80,$K80)</f>
        <v/>
      </c>
      <c r="N80" s="14">
        <f>IF(OR($E80="",$F80=""),"",1-(1-$E80)^$F80)</f>
        <v/>
      </c>
      <c r="O80" s="14">
        <f>IF(OR($N80="",$G80=""),"",$N80*$G80)</f>
        <v/>
      </c>
      <c r="P80" s="14">
        <f>IF(OR($O80="",$I80="",$J80="",$H80=""),"",$O80*$I80*$J80*(1-$H80))</f>
        <v/>
      </c>
      <c r="Q80" s="14">
        <f>IF(OR($P80="",$M80=""),"",$P80*$M80)</f>
        <v/>
      </c>
      <c r="R80" s="11" t="n"/>
      <c r="S80" s="13" t="n"/>
      <c r="T80" s="14">
        <f>IF($Q80="","",$Q80+ROW()/1000000)</f>
        <v/>
      </c>
    </row>
    <row r="81">
      <c r="A81" s="11" t="n"/>
      <c r="B81" s="11" t="n"/>
      <c r="C81" s="11" t="n"/>
      <c r="D81" s="13" t="n"/>
      <c r="E81" s="11" t="n"/>
      <c r="F81" s="11" t="n"/>
      <c r="G81" s="11" t="n"/>
      <c r="H81" s="11" t="n"/>
      <c r="I81" s="11" t="n"/>
      <c r="J81" s="11" t="n"/>
      <c r="K81" s="11" t="n"/>
      <c r="L81" s="14">
        <f>IF($C81="","",IFERROR(VLOOKUP($C81,Setup!$A$17:$B$22,2,FALSE),1))</f>
        <v/>
      </c>
      <c r="M81" s="14">
        <f>IF($K81="",$L81,$K81)</f>
        <v/>
      </c>
      <c r="N81" s="14">
        <f>IF(OR($E81="",$F81=""),"",1-(1-$E81)^$F81)</f>
        <v/>
      </c>
      <c r="O81" s="14">
        <f>IF(OR($N81="",$G81=""),"",$N81*$G81)</f>
        <v/>
      </c>
      <c r="P81" s="14">
        <f>IF(OR($O81="",$I81="",$J81="",$H81=""),"",$O81*$I81*$J81*(1-$H81))</f>
        <v/>
      </c>
      <c r="Q81" s="14">
        <f>IF(OR($P81="",$M81=""),"",$P81*$M81)</f>
        <v/>
      </c>
      <c r="R81" s="11" t="n"/>
      <c r="S81" s="13" t="n"/>
      <c r="T81" s="14">
        <f>IF($Q81="","",$Q81+ROW()/1000000)</f>
        <v/>
      </c>
    </row>
    <row r="82">
      <c r="A82" s="11" t="n"/>
      <c r="B82" s="11" t="n"/>
      <c r="C82" s="11" t="n"/>
      <c r="D82" s="13" t="n"/>
      <c r="E82" s="11" t="n"/>
      <c r="F82" s="11" t="n"/>
      <c r="G82" s="11" t="n"/>
      <c r="H82" s="11" t="n"/>
      <c r="I82" s="11" t="n"/>
      <c r="J82" s="11" t="n"/>
      <c r="K82" s="11" t="n"/>
      <c r="L82" s="14">
        <f>IF($C82="","",IFERROR(VLOOKUP($C82,Setup!$A$17:$B$22,2,FALSE),1))</f>
        <v/>
      </c>
      <c r="M82" s="14">
        <f>IF($K82="",$L82,$K82)</f>
        <v/>
      </c>
      <c r="N82" s="14">
        <f>IF(OR($E82="",$F82=""),"",1-(1-$E82)^$F82)</f>
        <v/>
      </c>
      <c r="O82" s="14">
        <f>IF(OR($N82="",$G82=""),"",$N82*$G82)</f>
        <v/>
      </c>
      <c r="P82" s="14">
        <f>IF(OR($O82="",$I82="",$J82="",$H82=""),"",$O82*$I82*$J82*(1-$H82))</f>
        <v/>
      </c>
      <c r="Q82" s="14">
        <f>IF(OR($P82="",$M82=""),"",$P82*$M82)</f>
        <v/>
      </c>
      <c r="R82" s="11" t="n"/>
      <c r="S82" s="13" t="n"/>
      <c r="T82" s="14">
        <f>IF($Q82="","",$Q82+ROW()/1000000)</f>
        <v/>
      </c>
    </row>
    <row r="83">
      <c r="A83" s="11" t="n"/>
      <c r="B83" s="11" t="n"/>
      <c r="C83" s="11" t="n"/>
      <c r="D83" s="13" t="n"/>
      <c r="E83" s="11" t="n"/>
      <c r="F83" s="11" t="n"/>
      <c r="G83" s="11" t="n"/>
      <c r="H83" s="11" t="n"/>
      <c r="I83" s="11" t="n"/>
      <c r="J83" s="11" t="n"/>
      <c r="K83" s="11" t="n"/>
      <c r="L83" s="14">
        <f>IF($C83="","",IFERROR(VLOOKUP($C83,Setup!$A$17:$B$22,2,FALSE),1))</f>
        <v/>
      </c>
      <c r="M83" s="14">
        <f>IF($K83="",$L83,$K83)</f>
        <v/>
      </c>
      <c r="N83" s="14">
        <f>IF(OR($E83="",$F83=""),"",1-(1-$E83)^$F83)</f>
        <v/>
      </c>
      <c r="O83" s="14">
        <f>IF(OR($N83="",$G83=""),"",$N83*$G83)</f>
        <v/>
      </c>
      <c r="P83" s="14">
        <f>IF(OR($O83="",$I83="",$J83="",$H83=""),"",$O83*$I83*$J83*(1-$H83))</f>
        <v/>
      </c>
      <c r="Q83" s="14">
        <f>IF(OR($P83="",$M83=""),"",$P83*$M83)</f>
        <v/>
      </c>
      <c r="R83" s="11" t="n"/>
      <c r="S83" s="13" t="n"/>
      <c r="T83" s="14">
        <f>IF($Q83="","",$Q83+ROW()/1000000)</f>
        <v/>
      </c>
    </row>
    <row r="84">
      <c r="A84" s="11" t="n"/>
      <c r="B84" s="11" t="n"/>
      <c r="C84" s="11" t="n"/>
      <c r="D84" s="13" t="n"/>
      <c r="E84" s="11" t="n"/>
      <c r="F84" s="11" t="n"/>
      <c r="G84" s="11" t="n"/>
      <c r="H84" s="11" t="n"/>
      <c r="I84" s="11" t="n"/>
      <c r="J84" s="11" t="n"/>
      <c r="K84" s="11" t="n"/>
      <c r="L84" s="14">
        <f>IF($C84="","",IFERROR(VLOOKUP($C84,Setup!$A$17:$B$22,2,FALSE),1))</f>
        <v/>
      </c>
      <c r="M84" s="14">
        <f>IF($K84="",$L84,$K84)</f>
        <v/>
      </c>
      <c r="N84" s="14">
        <f>IF(OR($E84="",$F84=""),"",1-(1-$E84)^$F84)</f>
        <v/>
      </c>
      <c r="O84" s="14">
        <f>IF(OR($N84="",$G84=""),"",$N84*$G84)</f>
        <v/>
      </c>
      <c r="P84" s="14">
        <f>IF(OR($O84="",$I84="",$J84="",$H84=""),"",$O84*$I84*$J84*(1-$H84))</f>
        <v/>
      </c>
      <c r="Q84" s="14">
        <f>IF(OR($P84="",$M84=""),"",$P84*$M84)</f>
        <v/>
      </c>
      <c r="R84" s="11" t="n"/>
      <c r="S84" s="13" t="n"/>
      <c r="T84" s="14">
        <f>IF($Q84="","",$Q84+ROW()/1000000)</f>
        <v/>
      </c>
    </row>
    <row r="85">
      <c r="A85" s="11" t="n"/>
      <c r="B85" s="11" t="n"/>
      <c r="C85" s="11" t="n"/>
      <c r="D85" s="13" t="n"/>
      <c r="E85" s="11" t="n"/>
      <c r="F85" s="11" t="n"/>
      <c r="G85" s="11" t="n"/>
      <c r="H85" s="11" t="n"/>
      <c r="I85" s="11" t="n"/>
      <c r="J85" s="11" t="n"/>
      <c r="K85" s="11" t="n"/>
      <c r="L85" s="14">
        <f>IF($C85="","",IFERROR(VLOOKUP($C85,Setup!$A$17:$B$22,2,FALSE),1))</f>
        <v/>
      </c>
      <c r="M85" s="14">
        <f>IF($K85="",$L85,$K85)</f>
        <v/>
      </c>
      <c r="N85" s="14">
        <f>IF(OR($E85="",$F85=""),"",1-(1-$E85)^$F85)</f>
        <v/>
      </c>
      <c r="O85" s="14">
        <f>IF(OR($N85="",$G85=""),"",$N85*$G85)</f>
        <v/>
      </c>
      <c r="P85" s="14">
        <f>IF(OR($O85="",$I85="",$J85="",$H85=""),"",$O85*$I85*$J85*(1-$H85))</f>
        <v/>
      </c>
      <c r="Q85" s="14">
        <f>IF(OR($P85="",$M85=""),"",$P85*$M85)</f>
        <v/>
      </c>
      <c r="R85" s="11" t="n"/>
      <c r="S85" s="13" t="n"/>
      <c r="T85" s="14">
        <f>IF($Q85="","",$Q85+ROW()/1000000)</f>
        <v/>
      </c>
    </row>
    <row r="86">
      <c r="A86" s="11" t="n"/>
      <c r="B86" s="11" t="n"/>
      <c r="C86" s="11" t="n"/>
      <c r="D86" s="13" t="n"/>
      <c r="E86" s="11" t="n"/>
      <c r="F86" s="11" t="n"/>
      <c r="G86" s="11" t="n"/>
      <c r="H86" s="11" t="n"/>
      <c r="I86" s="11" t="n"/>
      <c r="J86" s="11" t="n"/>
      <c r="K86" s="11" t="n"/>
      <c r="L86" s="14">
        <f>IF($C86="","",IFERROR(VLOOKUP($C86,Setup!$A$17:$B$22,2,FALSE),1))</f>
        <v/>
      </c>
      <c r="M86" s="14">
        <f>IF($K86="",$L86,$K86)</f>
        <v/>
      </c>
      <c r="N86" s="14">
        <f>IF(OR($E86="",$F86=""),"",1-(1-$E86)^$F86)</f>
        <v/>
      </c>
      <c r="O86" s="14">
        <f>IF(OR($N86="",$G86=""),"",$N86*$G86)</f>
        <v/>
      </c>
      <c r="P86" s="14">
        <f>IF(OR($O86="",$I86="",$J86="",$H86=""),"",$O86*$I86*$J86*(1-$H86))</f>
        <v/>
      </c>
      <c r="Q86" s="14">
        <f>IF(OR($P86="",$M86=""),"",$P86*$M86)</f>
        <v/>
      </c>
      <c r="R86" s="11" t="n"/>
      <c r="S86" s="13" t="n"/>
      <c r="T86" s="14">
        <f>IF($Q86="","",$Q86+ROW()/1000000)</f>
        <v/>
      </c>
    </row>
    <row r="87">
      <c r="A87" s="11" t="n"/>
      <c r="B87" s="11" t="n"/>
      <c r="C87" s="11" t="n"/>
      <c r="D87" s="13" t="n"/>
      <c r="E87" s="11" t="n"/>
      <c r="F87" s="11" t="n"/>
      <c r="G87" s="11" t="n"/>
      <c r="H87" s="11" t="n"/>
      <c r="I87" s="11" t="n"/>
      <c r="J87" s="11" t="n"/>
      <c r="K87" s="11" t="n"/>
      <c r="L87" s="14">
        <f>IF($C87="","",IFERROR(VLOOKUP($C87,Setup!$A$17:$B$22,2,FALSE),1))</f>
        <v/>
      </c>
      <c r="M87" s="14">
        <f>IF($K87="",$L87,$K87)</f>
        <v/>
      </c>
      <c r="N87" s="14">
        <f>IF(OR($E87="",$F87=""),"",1-(1-$E87)^$F87)</f>
        <v/>
      </c>
      <c r="O87" s="14">
        <f>IF(OR($N87="",$G87=""),"",$N87*$G87)</f>
        <v/>
      </c>
      <c r="P87" s="14">
        <f>IF(OR($O87="",$I87="",$J87="",$H87=""),"",$O87*$I87*$J87*(1-$H87))</f>
        <v/>
      </c>
      <c r="Q87" s="14">
        <f>IF(OR($P87="",$M87=""),"",$P87*$M87)</f>
        <v/>
      </c>
      <c r="R87" s="11" t="n"/>
      <c r="S87" s="13" t="n"/>
      <c r="T87" s="14">
        <f>IF($Q87="","",$Q87+ROW()/1000000)</f>
        <v/>
      </c>
    </row>
    <row r="88">
      <c r="A88" s="11" t="n"/>
      <c r="B88" s="11" t="n"/>
      <c r="C88" s="11" t="n"/>
      <c r="D88" s="13" t="n"/>
      <c r="E88" s="11" t="n"/>
      <c r="F88" s="11" t="n"/>
      <c r="G88" s="11" t="n"/>
      <c r="H88" s="11" t="n"/>
      <c r="I88" s="11" t="n"/>
      <c r="J88" s="11" t="n"/>
      <c r="K88" s="11" t="n"/>
      <c r="L88" s="14">
        <f>IF($C88="","",IFERROR(VLOOKUP($C88,Setup!$A$17:$B$22,2,FALSE),1))</f>
        <v/>
      </c>
      <c r="M88" s="14">
        <f>IF($K88="",$L88,$K88)</f>
        <v/>
      </c>
      <c r="N88" s="14">
        <f>IF(OR($E88="",$F88=""),"",1-(1-$E88)^$F88)</f>
        <v/>
      </c>
      <c r="O88" s="14">
        <f>IF(OR($N88="",$G88=""),"",$N88*$G88)</f>
        <v/>
      </c>
      <c r="P88" s="14">
        <f>IF(OR($O88="",$I88="",$J88="",$H88=""),"",$O88*$I88*$J88*(1-$H88))</f>
        <v/>
      </c>
      <c r="Q88" s="14">
        <f>IF(OR($P88="",$M88=""),"",$P88*$M88)</f>
        <v/>
      </c>
      <c r="R88" s="11" t="n"/>
      <c r="S88" s="13" t="n"/>
      <c r="T88" s="14">
        <f>IF($Q88="","",$Q88+ROW()/1000000)</f>
        <v/>
      </c>
    </row>
    <row r="89">
      <c r="A89" s="11" t="n"/>
      <c r="B89" s="11" t="n"/>
      <c r="C89" s="11" t="n"/>
      <c r="D89" s="13" t="n"/>
      <c r="E89" s="11" t="n"/>
      <c r="F89" s="11" t="n"/>
      <c r="G89" s="11" t="n"/>
      <c r="H89" s="11" t="n"/>
      <c r="I89" s="11" t="n"/>
      <c r="J89" s="11" t="n"/>
      <c r="K89" s="11" t="n"/>
      <c r="L89" s="14">
        <f>IF($C89="","",IFERROR(VLOOKUP($C89,Setup!$A$17:$B$22,2,FALSE),1))</f>
        <v/>
      </c>
      <c r="M89" s="14">
        <f>IF($K89="",$L89,$K89)</f>
        <v/>
      </c>
      <c r="N89" s="14">
        <f>IF(OR($E89="",$F89=""),"",1-(1-$E89)^$F89)</f>
        <v/>
      </c>
      <c r="O89" s="14">
        <f>IF(OR($N89="",$G89=""),"",$N89*$G89)</f>
        <v/>
      </c>
      <c r="P89" s="14">
        <f>IF(OR($O89="",$I89="",$J89="",$H89=""),"",$O89*$I89*$J89*(1-$H89))</f>
        <v/>
      </c>
      <c r="Q89" s="14">
        <f>IF(OR($P89="",$M89=""),"",$P89*$M89)</f>
        <v/>
      </c>
      <c r="R89" s="11" t="n"/>
      <c r="S89" s="13" t="n"/>
      <c r="T89" s="14">
        <f>IF($Q89="","",$Q89+ROW()/1000000)</f>
        <v/>
      </c>
    </row>
    <row r="90">
      <c r="A90" s="11" t="n"/>
      <c r="B90" s="11" t="n"/>
      <c r="C90" s="11" t="n"/>
      <c r="D90" s="13" t="n"/>
      <c r="E90" s="11" t="n"/>
      <c r="F90" s="11" t="n"/>
      <c r="G90" s="11" t="n"/>
      <c r="H90" s="11" t="n"/>
      <c r="I90" s="11" t="n"/>
      <c r="J90" s="11" t="n"/>
      <c r="K90" s="11" t="n"/>
      <c r="L90" s="14">
        <f>IF($C90="","",IFERROR(VLOOKUP($C90,Setup!$A$17:$B$22,2,FALSE),1))</f>
        <v/>
      </c>
      <c r="M90" s="14">
        <f>IF($K90="",$L90,$K90)</f>
        <v/>
      </c>
      <c r="N90" s="14">
        <f>IF(OR($E90="",$F90=""),"",1-(1-$E90)^$F90)</f>
        <v/>
      </c>
      <c r="O90" s="14">
        <f>IF(OR($N90="",$G90=""),"",$N90*$G90)</f>
        <v/>
      </c>
      <c r="P90" s="14">
        <f>IF(OR($O90="",$I90="",$J90="",$H90=""),"",$O90*$I90*$J90*(1-$H90))</f>
        <v/>
      </c>
      <c r="Q90" s="14">
        <f>IF(OR($P90="",$M90=""),"",$P90*$M90)</f>
        <v/>
      </c>
      <c r="R90" s="11" t="n"/>
      <c r="S90" s="13" t="n"/>
      <c r="T90" s="14">
        <f>IF($Q90="","",$Q90+ROW()/1000000)</f>
        <v/>
      </c>
    </row>
    <row r="91">
      <c r="A91" s="11" t="n"/>
      <c r="B91" s="11" t="n"/>
      <c r="C91" s="11" t="n"/>
      <c r="D91" s="13" t="n"/>
      <c r="E91" s="11" t="n"/>
      <c r="F91" s="11" t="n"/>
      <c r="G91" s="11" t="n"/>
      <c r="H91" s="11" t="n"/>
      <c r="I91" s="11" t="n"/>
      <c r="J91" s="11" t="n"/>
      <c r="K91" s="11" t="n"/>
      <c r="L91" s="14">
        <f>IF($C91="","",IFERROR(VLOOKUP($C91,Setup!$A$17:$B$22,2,FALSE),1))</f>
        <v/>
      </c>
      <c r="M91" s="14">
        <f>IF($K91="",$L91,$K91)</f>
        <v/>
      </c>
      <c r="N91" s="14">
        <f>IF(OR($E91="",$F91=""),"",1-(1-$E91)^$F91)</f>
        <v/>
      </c>
      <c r="O91" s="14">
        <f>IF(OR($N91="",$G91=""),"",$N91*$G91)</f>
        <v/>
      </c>
      <c r="P91" s="14">
        <f>IF(OR($O91="",$I91="",$J91="",$H91=""),"",$O91*$I91*$J91*(1-$H91))</f>
        <v/>
      </c>
      <c r="Q91" s="14">
        <f>IF(OR($P91="",$M91=""),"",$P91*$M91)</f>
        <v/>
      </c>
      <c r="R91" s="11" t="n"/>
      <c r="S91" s="13" t="n"/>
      <c r="T91" s="14">
        <f>IF($Q91="","",$Q91+ROW()/1000000)</f>
        <v/>
      </c>
    </row>
    <row r="92">
      <c r="A92" s="11" t="n"/>
      <c r="B92" s="11" t="n"/>
      <c r="C92" s="11" t="n"/>
      <c r="D92" s="13" t="n"/>
      <c r="E92" s="11" t="n"/>
      <c r="F92" s="11" t="n"/>
      <c r="G92" s="11" t="n"/>
      <c r="H92" s="11" t="n"/>
      <c r="I92" s="11" t="n"/>
      <c r="J92" s="11" t="n"/>
      <c r="K92" s="11" t="n"/>
      <c r="L92" s="14">
        <f>IF($C92="","",IFERROR(VLOOKUP($C92,Setup!$A$17:$B$22,2,FALSE),1))</f>
        <v/>
      </c>
      <c r="M92" s="14">
        <f>IF($K92="",$L92,$K92)</f>
        <v/>
      </c>
      <c r="N92" s="14">
        <f>IF(OR($E92="",$F92=""),"",1-(1-$E92)^$F92)</f>
        <v/>
      </c>
      <c r="O92" s="14">
        <f>IF(OR($N92="",$G92=""),"",$N92*$G92)</f>
        <v/>
      </c>
      <c r="P92" s="14">
        <f>IF(OR($O92="",$I92="",$J92="",$H92=""),"",$O92*$I92*$J92*(1-$H92))</f>
        <v/>
      </c>
      <c r="Q92" s="14">
        <f>IF(OR($P92="",$M92=""),"",$P92*$M92)</f>
        <v/>
      </c>
      <c r="R92" s="11" t="n"/>
      <c r="S92" s="13" t="n"/>
      <c r="T92" s="14">
        <f>IF($Q92="","",$Q92+ROW()/1000000)</f>
        <v/>
      </c>
    </row>
    <row r="93">
      <c r="A93" s="11" t="n"/>
      <c r="B93" s="11" t="n"/>
      <c r="C93" s="11" t="n"/>
      <c r="D93" s="13" t="n"/>
      <c r="E93" s="11" t="n"/>
      <c r="F93" s="11" t="n"/>
      <c r="G93" s="11" t="n"/>
      <c r="H93" s="11" t="n"/>
      <c r="I93" s="11" t="n"/>
      <c r="J93" s="11" t="n"/>
      <c r="K93" s="11" t="n"/>
      <c r="L93" s="14">
        <f>IF($C93="","",IFERROR(VLOOKUP($C93,Setup!$A$17:$B$22,2,FALSE),1))</f>
        <v/>
      </c>
      <c r="M93" s="14">
        <f>IF($K93="",$L93,$K93)</f>
        <v/>
      </c>
      <c r="N93" s="14">
        <f>IF(OR($E93="",$F93=""),"",1-(1-$E93)^$F93)</f>
        <v/>
      </c>
      <c r="O93" s="14">
        <f>IF(OR($N93="",$G93=""),"",$N93*$G93)</f>
        <v/>
      </c>
      <c r="P93" s="14">
        <f>IF(OR($O93="",$I93="",$J93="",$H93=""),"",$O93*$I93*$J93*(1-$H93))</f>
        <v/>
      </c>
      <c r="Q93" s="14">
        <f>IF(OR($P93="",$M93=""),"",$P93*$M93)</f>
        <v/>
      </c>
      <c r="R93" s="11" t="n"/>
      <c r="S93" s="13" t="n"/>
      <c r="T93" s="14">
        <f>IF($Q93="","",$Q93+ROW()/1000000)</f>
        <v/>
      </c>
    </row>
    <row r="94">
      <c r="A94" s="11" t="n"/>
      <c r="B94" s="11" t="n"/>
      <c r="C94" s="11" t="n"/>
      <c r="D94" s="13" t="n"/>
      <c r="E94" s="11" t="n"/>
      <c r="F94" s="11" t="n"/>
      <c r="G94" s="11" t="n"/>
      <c r="H94" s="11" t="n"/>
      <c r="I94" s="11" t="n"/>
      <c r="J94" s="11" t="n"/>
      <c r="K94" s="11" t="n"/>
      <c r="L94" s="14">
        <f>IF($C94="","",IFERROR(VLOOKUP($C94,Setup!$A$17:$B$22,2,FALSE),1))</f>
        <v/>
      </c>
      <c r="M94" s="14">
        <f>IF($K94="",$L94,$K94)</f>
        <v/>
      </c>
      <c r="N94" s="14">
        <f>IF(OR($E94="",$F94=""),"",1-(1-$E94)^$F94)</f>
        <v/>
      </c>
      <c r="O94" s="14">
        <f>IF(OR($N94="",$G94=""),"",$N94*$G94)</f>
        <v/>
      </c>
      <c r="P94" s="14">
        <f>IF(OR($O94="",$I94="",$J94="",$H94=""),"",$O94*$I94*$J94*(1-$H94))</f>
        <v/>
      </c>
      <c r="Q94" s="14">
        <f>IF(OR($P94="",$M94=""),"",$P94*$M94)</f>
        <v/>
      </c>
      <c r="R94" s="11" t="n"/>
      <c r="S94" s="13" t="n"/>
      <c r="T94" s="14">
        <f>IF($Q94="","",$Q94+ROW()/1000000)</f>
        <v/>
      </c>
    </row>
    <row r="95">
      <c r="A95" s="11" t="n"/>
      <c r="B95" s="11" t="n"/>
      <c r="C95" s="11" t="n"/>
      <c r="D95" s="13" t="n"/>
      <c r="E95" s="11" t="n"/>
      <c r="F95" s="11" t="n"/>
      <c r="G95" s="11" t="n"/>
      <c r="H95" s="11" t="n"/>
      <c r="I95" s="11" t="n"/>
      <c r="J95" s="11" t="n"/>
      <c r="K95" s="11" t="n"/>
      <c r="L95" s="14">
        <f>IF($C95="","",IFERROR(VLOOKUP($C95,Setup!$A$17:$B$22,2,FALSE),1))</f>
        <v/>
      </c>
      <c r="M95" s="14">
        <f>IF($K95="",$L95,$K95)</f>
        <v/>
      </c>
      <c r="N95" s="14">
        <f>IF(OR($E95="",$F95=""),"",1-(1-$E95)^$F95)</f>
        <v/>
      </c>
      <c r="O95" s="14">
        <f>IF(OR($N95="",$G95=""),"",$N95*$G95)</f>
        <v/>
      </c>
      <c r="P95" s="14">
        <f>IF(OR($O95="",$I95="",$J95="",$H95=""),"",$O95*$I95*$J95*(1-$H95))</f>
        <v/>
      </c>
      <c r="Q95" s="14">
        <f>IF(OR($P95="",$M95=""),"",$P95*$M95)</f>
        <v/>
      </c>
      <c r="R95" s="11" t="n"/>
      <c r="S95" s="13" t="n"/>
      <c r="T95" s="14">
        <f>IF($Q95="","",$Q95+ROW()/1000000)</f>
        <v/>
      </c>
    </row>
    <row r="96">
      <c r="A96" s="11" t="n"/>
      <c r="B96" s="11" t="n"/>
      <c r="C96" s="11" t="n"/>
      <c r="D96" s="13" t="n"/>
      <c r="E96" s="11" t="n"/>
      <c r="F96" s="11" t="n"/>
      <c r="G96" s="11" t="n"/>
      <c r="H96" s="11" t="n"/>
      <c r="I96" s="11" t="n"/>
      <c r="J96" s="11" t="n"/>
      <c r="K96" s="11" t="n"/>
      <c r="L96" s="14">
        <f>IF($C96="","",IFERROR(VLOOKUP($C96,Setup!$A$17:$B$22,2,FALSE),1))</f>
        <v/>
      </c>
      <c r="M96" s="14">
        <f>IF($K96="",$L96,$K96)</f>
        <v/>
      </c>
      <c r="N96" s="14">
        <f>IF(OR($E96="",$F96=""),"",1-(1-$E96)^$F96)</f>
        <v/>
      </c>
      <c r="O96" s="14">
        <f>IF(OR($N96="",$G96=""),"",$N96*$G96)</f>
        <v/>
      </c>
      <c r="P96" s="14">
        <f>IF(OR($O96="",$I96="",$J96="",$H96=""),"",$O96*$I96*$J96*(1-$H96))</f>
        <v/>
      </c>
      <c r="Q96" s="14">
        <f>IF(OR($P96="",$M96=""),"",$P96*$M96)</f>
        <v/>
      </c>
      <c r="R96" s="11" t="n"/>
      <c r="S96" s="13" t="n"/>
      <c r="T96" s="14">
        <f>IF($Q96="","",$Q96+ROW()/1000000)</f>
        <v/>
      </c>
    </row>
    <row r="97">
      <c r="A97" s="11" t="n"/>
      <c r="B97" s="11" t="n"/>
      <c r="C97" s="11" t="n"/>
      <c r="D97" s="13" t="n"/>
      <c r="E97" s="11" t="n"/>
      <c r="F97" s="11" t="n"/>
      <c r="G97" s="11" t="n"/>
      <c r="H97" s="11" t="n"/>
      <c r="I97" s="11" t="n"/>
      <c r="J97" s="11" t="n"/>
      <c r="K97" s="11" t="n"/>
      <c r="L97" s="14">
        <f>IF($C97="","",IFERROR(VLOOKUP($C97,Setup!$A$17:$B$22,2,FALSE),1))</f>
        <v/>
      </c>
      <c r="M97" s="14">
        <f>IF($K97="",$L97,$K97)</f>
        <v/>
      </c>
      <c r="N97" s="14">
        <f>IF(OR($E97="",$F97=""),"",1-(1-$E97)^$F97)</f>
        <v/>
      </c>
      <c r="O97" s="14">
        <f>IF(OR($N97="",$G97=""),"",$N97*$G97)</f>
        <v/>
      </c>
      <c r="P97" s="14">
        <f>IF(OR($O97="",$I97="",$J97="",$H97=""),"",$O97*$I97*$J97*(1-$H97))</f>
        <v/>
      </c>
      <c r="Q97" s="14">
        <f>IF(OR($P97="",$M97=""),"",$P97*$M97)</f>
        <v/>
      </c>
      <c r="R97" s="11" t="n"/>
      <c r="S97" s="13" t="n"/>
      <c r="T97" s="14">
        <f>IF($Q97="","",$Q97+ROW()/1000000)</f>
        <v/>
      </c>
    </row>
    <row r="98">
      <c r="A98" s="11" t="n"/>
      <c r="B98" s="11" t="n"/>
      <c r="C98" s="11" t="n"/>
      <c r="D98" s="13" t="n"/>
      <c r="E98" s="11" t="n"/>
      <c r="F98" s="11" t="n"/>
      <c r="G98" s="11" t="n"/>
      <c r="H98" s="11" t="n"/>
      <c r="I98" s="11" t="n"/>
      <c r="J98" s="11" t="n"/>
      <c r="K98" s="11" t="n"/>
      <c r="L98" s="14">
        <f>IF($C98="","",IFERROR(VLOOKUP($C98,Setup!$A$17:$B$22,2,FALSE),1))</f>
        <v/>
      </c>
      <c r="M98" s="14">
        <f>IF($K98="",$L98,$K98)</f>
        <v/>
      </c>
      <c r="N98" s="14">
        <f>IF(OR($E98="",$F98=""),"",1-(1-$E98)^$F98)</f>
        <v/>
      </c>
      <c r="O98" s="14">
        <f>IF(OR($N98="",$G98=""),"",$N98*$G98)</f>
        <v/>
      </c>
      <c r="P98" s="14">
        <f>IF(OR($O98="",$I98="",$J98="",$H98=""),"",$O98*$I98*$J98*(1-$H98))</f>
        <v/>
      </c>
      <c r="Q98" s="14">
        <f>IF(OR($P98="",$M98=""),"",$P98*$M98)</f>
        <v/>
      </c>
      <c r="R98" s="11" t="n"/>
      <c r="S98" s="13" t="n"/>
      <c r="T98" s="14">
        <f>IF($Q98="","",$Q98+ROW()/1000000)</f>
        <v/>
      </c>
    </row>
    <row r="99">
      <c r="A99" s="11" t="n"/>
      <c r="B99" s="11" t="n"/>
      <c r="C99" s="11" t="n"/>
      <c r="D99" s="13" t="n"/>
      <c r="E99" s="11" t="n"/>
      <c r="F99" s="11" t="n"/>
      <c r="G99" s="11" t="n"/>
      <c r="H99" s="11" t="n"/>
      <c r="I99" s="11" t="n"/>
      <c r="J99" s="11" t="n"/>
      <c r="K99" s="11" t="n"/>
      <c r="L99" s="14">
        <f>IF($C99="","",IFERROR(VLOOKUP($C99,Setup!$A$17:$B$22,2,FALSE),1))</f>
        <v/>
      </c>
      <c r="M99" s="14">
        <f>IF($K99="",$L99,$K99)</f>
        <v/>
      </c>
      <c r="N99" s="14">
        <f>IF(OR($E99="",$F99=""),"",1-(1-$E99)^$F99)</f>
        <v/>
      </c>
      <c r="O99" s="14">
        <f>IF(OR($N99="",$G99=""),"",$N99*$G99)</f>
        <v/>
      </c>
      <c r="P99" s="14">
        <f>IF(OR($O99="",$I99="",$J99="",$H99=""),"",$O99*$I99*$J99*(1-$H99))</f>
        <v/>
      </c>
      <c r="Q99" s="14">
        <f>IF(OR($P99="",$M99=""),"",$P99*$M99)</f>
        <v/>
      </c>
      <c r="R99" s="11" t="n"/>
      <c r="S99" s="13" t="n"/>
      <c r="T99" s="14">
        <f>IF($Q99="","",$Q99+ROW()/1000000)</f>
        <v/>
      </c>
    </row>
    <row r="100">
      <c r="A100" s="11" t="n"/>
      <c r="B100" s="11" t="n"/>
      <c r="C100" s="11" t="n"/>
      <c r="D100" s="13" t="n"/>
      <c r="E100" s="11" t="n"/>
      <c r="F100" s="11" t="n"/>
      <c r="G100" s="11" t="n"/>
      <c r="H100" s="11" t="n"/>
      <c r="I100" s="11" t="n"/>
      <c r="J100" s="11" t="n"/>
      <c r="K100" s="11" t="n"/>
      <c r="L100" s="14">
        <f>IF($C100="","",IFERROR(VLOOKUP($C100,Setup!$A$17:$B$22,2,FALSE),1))</f>
        <v/>
      </c>
      <c r="M100" s="14">
        <f>IF($K100="",$L100,$K100)</f>
        <v/>
      </c>
      <c r="N100" s="14">
        <f>IF(OR($E100="",$F100=""),"",1-(1-$E100)^$F100)</f>
        <v/>
      </c>
      <c r="O100" s="14">
        <f>IF(OR($N100="",$G100=""),"",$N100*$G100)</f>
        <v/>
      </c>
      <c r="P100" s="14">
        <f>IF(OR($O100="",$I100="",$J100="",$H100=""),"",$O100*$I100*$J100*(1-$H100))</f>
        <v/>
      </c>
      <c r="Q100" s="14">
        <f>IF(OR($P100="",$M100=""),"",$P100*$M100)</f>
        <v/>
      </c>
      <c r="R100" s="11" t="n"/>
      <c r="S100" s="13" t="n"/>
      <c r="T100" s="14">
        <f>IF($Q100="","",$Q100+ROW()/1000000)</f>
        <v/>
      </c>
    </row>
    <row r="101">
      <c r="A101" s="11" t="n"/>
      <c r="B101" s="11" t="n"/>
      <c r="C101" s="11" t="n"/>
      <c r="D101" s="13" t="n"/>
      <c r="E101" s="11" t="n"/>
      <c r="F101" s="11" t="n"/>
      <c r="G101" s="11" t="n"/>
      <c r="H101" s="11" t="n"/>
      <c r="I101" s="11" t="n"/>
      <c r="J101" s="11" t="n"/>
      <c r="K101" s="11" t="n"/>
      <c r="L101" s="14">
        <f>IF($C101="","",IFERROR(VLOOKUP($C101,Setup!$A$17:$B$22,2,FALSE),1))</f>
        <v/>
      </c>
      <c r="M101" s="14">
        <f>IF($K101="",$L101,$K101)</f>
        <v/>
      </c>
      <c r="N101" s="14">
        <f>IF(OR($E101="",$F101=""),"",1-(1-$E101)^$F101)</f>
        <v/>
      </c>
      <c r="O101" s="14">
        <f>IF(OR($N101="",$G101=""),"",$N101*$G101)</f>
        <v/>
      </c>
      <c r="P101" s="14">
        <f>IF(OR($O101="",$I101="",$J101="",$H101=""),"",$O101*$I101*$J101*(1-$H101))</f>
        <v/>
      </c>
      <c r="Q101" s="14">
        <f>IF(OR($P101="",$M101=""),"",$P101*$M101)</f>
        <v/>
      </c>
      <c r="R101" s="11" t="n"/>
      <c r="S101" s="13" t="n"/>
      <c r="T101" s="14">
        <f>IF($Q101="","",$Q101+ROW()/1000000)</f>
        <v/>
      </c>
    </row>
    <row r="102">
      <c r="A102" s="11" t="n"/>
      <c r="B102" s="11" t="n"/>
      <c r="C102" s="11" t="n"/>
      <c r="D102" s="13" t="n"/>
      <c r="E102" s="11" t="n"/>
      <c r="F102" s="11" t="n"/>
      <c r="G102" s="11" t="n"/>
      <c r="H102" s="11" t="n"/>
      <c r="I102" s="11" t="n"/>
      <c r="J102" s="11" t="n"/>
      <c r="K102" s="11" t="n"/>
      <c r="L102" s="14">
        <f>IF($C102="","",IFERROR(VLOOKUP($C102,Setup!$A$17:$B$22,2,FALSE),1))</f>
        <v/>
      </c>
      <c r="M102" s="14">
        <f>IF($K102="",$L102,$K102)</f>
        <v/>
      </c>
      <c r="N102" s="14">
        <f>IF(OR($E102="",$F102=""),"",1-(1-$E102)^$F102)</f>
        <v/>
      </c>
      <c r="O102" s="14">
        <f>IF(OR($N102="",$G102=""),"",$N102*$G102)</f>
        <v/>
      </c>
      <c r="P102" s="14">
        <f>IF(OR($O102="",$I102="",$J102="",$H102=""),"",$O102*$I102*$J102*(1-$H102))</f>
        <v/>
      </c>
      <c r="Q102" s="14">
        <f>IF(OR($P102="",$M102=""),"",$P102*$M102)</f>
        <v/>
      </c>
      <c r="R102" s="11" t="n"/>
      <c r="S102" s="13" t="n"/>
      <c r="T102" s="14">
        <f>IF($Q102="","",$Q102+ROW()/1000000)</f>
        <v/>
      </c>
    </row>
    <row r="103">
      <c r="A103" s="11" t="n"/>
      <c r="B103" s="11" t="n"/>
      <c r="C103" s="11" t="n"/>
      <c r="D103" s="13" t="n"/>
      <c r="E103" s="11" t="n"/>
      <c r="F103" s="11" t="n"/>
      <c r="G103" s="11" t="n"/>
      <c r="H103" s="11" t="n"/>
      <c r="I103" s="11" t="n"/>
      <c r="J103" s="11" t="n"/>
      <c r="K103" s="11" t="n"/>
      <c r="L103" s="14">
        <f>IF($C103="","",IFERROR(VLOOKUP($C103,Setup!$A$17:$B$22,2,FALSE),1))</f>
        <v/>
      </c>
      <c r="M103" s="14">
        <f>IF($K103="",$L103,$K103)</f>
        <v/>
      </c>
      <c r="N103" s="14">
        <f>IF(OR($E103="",$F103=""),"",1-(1-$E103)^$F103)</f>
        <v/>
      </c>
      <c r="O103" s="14">
        <f>IF(OR($N103="",$G103=""),"",$N103*$G103)</f>
        <v/>
      </c>
      <c r="P103" s="14">
        <f>IF(OR($O103="",$I103="",$J103="",$H103=""),"",$O103*$I103*$J103*(1-$H103))</f>
        <v/>
      </c>
      <c r="Q103" s="14">
        <f>IF(OR($P103="",$M103=""),"",$P103*$M103)</f>
        <v/>
      </c>
      <c r="R103" s="11" t="n"/>
      <c r="S103" s="13" t="n"/>
      <c r="T103" s="14">
        <f>IF($Q103="","",$Q103+ROW()/1000000)</f>
        <v/>
      </c>
    </row>
    <row r="104">
      <c r="A104" s="11" t="n"/>
      <c r="B104" s="11" t="n"/>
      <c r="C104" s="11" t="n"/>
      <c r="D104" s="13" t="n"/>
      <c r="E104" s="11" t="n"/>
      <c r="F104" s="11" t="n"/>
      <c r="G104" s="11" t="n"/>
      <c r="H104" s="11" t="n"/>
      <c r="I104" s="11" t="n"/>
      <c r="J104" s="11" t="n"/>
      <c r="K104" s="11" t="n"/>
      <c r="L104" s="14">
        <f>IF($C104="","",IFERROR(VLOOKUP($C104,Setup!$A$17:$B$22,2,FALSE),1))</f>
        <v/>
      </c>
      <c r="M104" s="14">
        <f>IF($K104="",$L104,$K104)</f>
        <v/>
      </c>
      <c r="N104" s="14">
        <f>IF(OR($E104="",$F104=""),"",1-(1-$E104)^$F104)</f>
        <v/>
      </c>
      <c r="O104" s="14">
        <f>IF(OR($N104="",$G104=""),"",$N104*$G104)</f>
        <v/>
      </c>
      <c r="P104" s="14">
        <f>IF(OR($O104="",$I104="",$J104="",$H104=""),"",$O104*$I104*$J104*(1-$H104))</f>
        <v/>
      </c>
      <c r="Q104" s="14">
        <f>IF(OR($P104="",$M104=""),"",$P104*$M104)</f>
        <v/>
      </c>
      <c r="R104" s="11" t="n"/>
      <c r="S104" s="13" t="n"/>
      <c r="T104" s="14">
        <f>IF($Q104="","",$Q104+ROW()/1000000)</f>
        <v/>
      </c>
    </row>
    <row r="105">
      <c r="A105" s="11" t="n"/>
      <c r="B105" s="11" t="n"/>
      <c r="C105" s="11" t="n"/>
      <c r="D105" s="13" t="n"/>
      <c r="E105" s="11" t="n"/>
      <c r="F105" s="11" t="n"/>
      <c r="G105" s="11" t="n"/>
      <c r="H105" s="11" t="n"/>
      <c r="I105" s="11" t="n"/>
      <c r="J105" s="11" t="n"/>
      <c r="K105" s="11" t="n"/>
      <c r="L105" s="14">
        <f>IF($C105="","",IFERROR(VLOOKUP($C105,Setup!$A$17:$B$22,2,FALSE),1))</f>
        <v/>
      </c>
      <c r="M105" s="14">
        <f>IF($K105="",$L105,$K105)</f>
        <v/>
      </c>
      <c r="N105" s="14">
        <f>IF(OR($E105="",$F105=""),"",1-(1-$E105)^$F105)</f>
        <v/>
      </c>
      <c r="O105" s="14">
        <f>IF(OR($N105="",$G105=""),"",$N105*$G105)</f>
        <v/>
      </c>
      <c r="P105" s="14">
        <f>IF(OR($O105="",$I105="",$J105="",$H105=""),"",$O105*$I105*$J105*(1-$H105))</f>
        <v/>
      </c>
      <c r="Q105" s="14">
        <f>IF(OR($P105="",$M105=""),"",$P105*$M105)</f>
        <v/>
      </c>
      <c r="R105" s="11" t="n"/>
      <c r="S105" s="13" t="n"/>
      <c r="T105" s="14">
        <f>IF($Q105="","",$Q105+ROW()/1000000)</f>
        <v/>
      </c>
    </row>
    <row r="106">
      <c r="A106" s="11" t="n"/>
      <c r="B106" s="11" t="n"/>
      <c r="C106" s="11" t="n"/>
      <c r="D106" s="13" t="n"/>
      <c r="E106" s="11" t="n"/>
      <c r="F106" s="11" t="n"/>
      <c r="G106" s="11" t="n"/>
      <c r="H106" s="11" t="n"/>
      <c r="I106" s="11" t="n"/>
      <c r="J106" s="11" t="n"/>
      <c r="K106" s="11" t="n"/>
      <c r="L106" s="14">
        <f>IF($C106="","",IFERROR(VLOOKUP($C106,Setup!$A$17:$B$22,2,FALSE),1))</f>
        <v/>
      </c>
      <c r="M106" s="14">
        <f>IF($K106="",$L106,$K106)</f>
        <v/>
      </c>
      <c r="N106" s="14">
        <f>IF(OR($E106="",$F106=""),"",1-(1-$E106)^$F106)</f>
        <v/>
      </c>
      <c r="O106" s="14">
        <f>IF(OR($N106="",$G106=""),"",$N106*$G106)</f>
        <v/>
      </c>
      <c r="P106" s="14">
        <f>IF(OR($O106="",$I106="",$J106="",$H106=""),"",$O106*$I106*$J106*(1-$H106))</f>
        <v/>
      </c>
      <c r="Q106" s="14">
        <f>IF(OR($P106="",$M106=""),"",$P106*$M106)</f>
        <v/>
      </c>
      <c r="R106" s="11" t="n"/>
      <c r="S106" s="13" t="n"/>
      <c r="T106" s="14">
        <f>IF($Q106="","",$Q106+ROW()/1000000)</f>
        <v/>
      </c>
    </row>
    <row r="107">
      <c r="A107" s="11" t="n"/>
      <c r="B107" s="11" t="n"/>
      <c r="C107" s="11" t="n"/>
      <c r="D107" s="13" t="n"/>
      <c r="E107" s="11" t="n"/>
      <c r="F107" s="11" t="n"/>
      <c r="G107" s="11" t="n"/>
      <c r="H107" s="11" t="n"/>
      <c r="I107" s="11" t="n"/>
      <c r="J107" s="11" t="n"/>
      <c r="K107" s="11" t="n"/>
      <c r="L107" s="14">
        <f>IF($C107="","",IFERROR(VLOOKUP($C107,Setup!$A$17:$B$22,2,FALSE),1))</f>
        <v/>
      </c>
      <c r="M107" s="14">
        <f>IF($K107="",$L107,$K107)</f>
        <v/>
      </c>
      <c r="N107" s="14">
        <f>IF(OR($E107="",$F107=""),"",1-(1-$E107)^$F107)</f>
        <v/>
      </c>
      <c r="O107" s="14">
        <f>IF(OR($N107="",$G107=""),"",$N107*$G107)</f>
        <v/>
      </c>
      <c r="P107" s="14">
        <f>IF(OR($O107="",$I107="",$J107="",$H107=""),"",$O107*$I107*$J107*(1-$H107))</f>
        <v/>
      </c>
      <c r="Q107" s="14">
        <f>IF(OR($P107="",$M107=""),"",$P107*$M107)</f>
        <v/>
      </c>
      <c r="R107" s="11" t="n"/>
      <c r="S107" s="13" t="n"/>
      <c r="T107" s="14">
        <f>IF($Q107="","",$Q107+ROW()/1000000)</f>
        <v/>
      </c>
    </row>
    <row r="108">
      <c r="A108" s="11" t="n"/>
      <c r="B108" s="11" t="n"/>
      <c r="C108" s="11" t="n"/>
      <c r="D108" s="13" t="n"/>
      <c r="E108" s="11" t="n"/>
      <c r="F108" s="11" t="n"/>
      <c r="G108" s="11" t="n"/>
      <c r="H108" s="11" t="n"/>
      <c r="I108" s="11" t="n"/>
      <c r="J108" s="11" t="n"/>
      <c r="K108" s="11" t="n"/>
      <c r="L108" s="14">
        <f>IF($C108="","",IFERROR(VLOOKUP($C108,Setup!$A$17:$B$22,2,FALSE),1))</f>
        <v/>
      </c>
      <c r="M108" s="14">
        <f>IF($K108="",$L108,$K108)</f>
        <v/>
      </c>
      <c r="N108" s="14">
        <f>IF(OR($E108="",$F108=""),"",1-(1-$E108)^$F108)</f>
        <v/>
      </c>
      <c r="O108" s="14">
        <f>IF(OR($N108="",$G108=""),"",$N108*$G108)</f>
        <v/>
      </c>
      <c r="P108" s="14">
        <f>IF(OR($O108="",$I108="",$J108="",$H108=""),"",$O108*$I108*$J108*(1-$H108))</f>
        <v/>
      </c>
      <c r="Q108" s="14">
        <f>IF(OR($P108="",$M108=""),"",$P108*$M108)</f>
        <v/>
      </c>
      <c r="R108" s="11" t="n"/>
      <c r="S108" s="13" t="n"/>
      <c r="T108" s="14">
        <f>IF($Q108="","",$Q108+ROW()/1000000)</f>
        <v/>
      </c>
    </row>
    <row r="109">
      <c r="A109" s="11" t="n"/>
      <c r="B109" s="11" t="n"/>
      <c r="C109" s="11" t="n"/>
      <c r="D109" s="13" t="n"/>
      <c r="E109" s="11" t="n"/>
      <c r="F109" s="11" t="n"/>
      <c r="G109" s="11" t="n"/>
      <c r="H109" s="11" t="n"/>
      <c r="I109" s="11" t="n"/>
      <c r="J109" s="11" t="n"/>
      <c r="K109" s="11" t="n"/>
      <c r="L109" s="14">
        <f>IF($C109="","",IFERROR(VLOOKUP($C109,Setup!$A$17:$B$22,2,FALSE),1))</f>
        <v/>
      </c>
      <c r="M109" s="14">
        <f>IF($K109="",$L109,$K109)</f>
        <v/>
      </c>
      <c r="N109" s="14">
        <f>IF(OR($E109="",$F109=""),"",1-(1-$E109)^$F109)</f>
        <v/>
      </c>
      <c r="O109" s="14">
        <f>IF(OR($N109="",$G109=""),"",$N109*$G109)</f>
        <v/>
      </c>
      <c r="P109" s="14">
        <f>IF(OR($O109="",$I109="",$J109="",$H109=""),"",$O109*$I109*$J109*(1-$H109))</f>
        <v/>
      </c>
      <c r="Q109" s="14">
        <f>IF(OR($P109="",$M109=""),"",$P109*$M109)</f>
        <v/>
      </c>
      <c r="R109" s="11" t="n"/>
      <c r="S109" s="13" t="n"/>
      <c r="T109" s="14">
        <f>IF($Q109="","",$Q109+ROW()/1000000)</f>
        <v/>
      </c>
    </row>
    <row r="110">
      <c r="A110" s="11" t="n"/>
      <c r="B110" s="11" t="n"/>
      <c r="C110" s="11" t="n"/>
      <c r="D110" s="13" t="n"/>
      <c r="E110" s="11" t="n"/>
      <c r="F110" s="11" t="n"/>
      <c r="G110" s="11" t="n"/>
      <c r="H110" s="11" t="n"/>
      <c r="I110" s="11" t="n"/>
      <c r="J110" s="11" t="n"/>
      <c r="K110" s="11" t="n"/>
      <c r="L110" s="14">
        <f>IF($C110="","",IFERROR(VLOOKUP($C110,Setup!$A$17:$B$22,2,FALSE),1))</f>
        <v/>
      </c>
      <c r="M110" s="14">
        <f>IF($K110="",$L110,$K110)</f>
        <v/>
      </c>
      <c r="N110" s="14">
        <f>IF(OR($E110="",$F110=""),"",1-(1-$E110)^$F110)</f>
        <v/>
      </c>
      <c r="O110" s="14">
        <f>IF(OR($N110="",$G110=""),"",$N110*$G110)</f>
        <v/>
      </c>
      <c r="P110" s="14">
        <f>IF(OR($O110="",$I110="",$J110="",$H110=""),"",$O110*$I110*$J110*(1-$H110))</f>
        <v/>
      </c>
      <c r="Q110" s="14">
        <f>IF(OR($P110="",$M110=""),"",$P110*$M110)</f>
        <v/>
      </c>
      <c r="R110" s="11" t="n"/>
      <c r="S110" s="13" t="n"/>
      <c r="T110" s="14">
        <f>IF($Q110="","",$Q110+ROW()/1000000)</f>
        <v/>
      </c>
    </row>
    <row r="111">
      <c r="A111" s="11" t="n"/>
      <c r="B111" s="11" t="n"/>
      <c r="C111" s="11" t="n"/>
      <c r="D111" s="13" t="n"/>
      <c r="E111" s="11" t="n"/>
      <c r="F111" s="11" t="n"/>
      <c r="G111" s="11" t="n"/>
      <c r="H111" s="11" t="n"/>
      <c r="I111" s="11" t="n"/>
      <c r="J111" s="11" t="n"/>
      <c r="K111" s="11" t="n"/>
      <c r="L111" s="14">
        <f>IF($C111="","",IFERROR(VLOOKUP($C111,Setup!$A$17:$B$22,2,FALSE),1))</f>
        <v/>
      </c>
      <c r="M111" s="14">
        <f>IF($K111="",$L111,$K111)</f>
        <v/>
      </c>
      <c r="N111" s="14">
        <f>IF(OR($E111="",$F111=""),"",1-(1-$E111)^$F111)</f>
        <v/>
      </c>
      <c r="O111" s="14">
        <f>IF(OR($N111="",$G111=""),"",$N111*$G111)</f>
        <v/>
      </c>
      <c r="P111" s="14">
        <f>IF(OR($O111="",$I111="",$J111="",$H111=""),"",$O111*$I111*$J111*(1-$H111))</f>
        <v/>
      </c>
      <c r="Q111" s="14">
        <f>IF(OR($P111="",$M111=""),"",$P111*$M111)</f>
        <v/>
      </c>
      <c r="R111" s="11" t="n"/>
      <c r="S111" s="13" t="n"/>
      <c r="T111" s="14">
        <f>IF($Q111="","",$Q111+ROW()/1000000)</f>
        <v/>
      </c>
    </row>
    <row r="112">
      <c r="A112" s="11" t="n"/>
      <c r="B112" s="11" t="n"/>
      <c r="C112" s="11" t="n"/>
      <c r="D112" s="13" t="n"/>
      <c r="E112" s="11" t="n"/>
      <c r="F112" s="11" t="n"/>
      <c r="G112" s="11" t="n"/>
      <c r="H112" s="11" t="n"/>
      <c r="I112" s="11" t="n"/>
      <c r="J112" s="11" t="n"/>
      <c r="K112" s="11" t="n"/>
      <c r="L112" s="14">
        <f>IF($C112="","",IFERROR(VLOOKUP($C112,Setup!$A$17:$B$22,2,FALSE),1))</f>
        <v/>
      </c>
      <c r="M112" s="14">
        <f>IF($K112="",$L112,$K112)</f>
        <v/>
      </c>
      <c r="N112" s="14">
        <f>IF(OR($E112="",$F112=""),"",1-(1-$E112)^$F112)</f>
        <v/>
      </c>
      <c r="O112" s="14">
        <f>IF(OR($N112="",$G112=""),"",$N112*$G112)</f>
        <v/>
      </c>
      <c r="P112" s="14">
        <f>IF(OR($O112="",$I112="",$J112="",$H112=""),"",$O112*$I112*$J112*(1-$H112))</f>
        <v/>
      </c>
      <c r="Q112" s="14">
        <f>IF(OR($P112="",$M112=""),"",$P112*$M112)</f>
        <v/>
      </c>
      <c r="R112" s="11" t="n"/>
      <c r="S112" s="13" t="n"/>
      <c r="T112" s="14">
        <f>IF($Q112="","",$Q112+ROW()/1000000)</f>
        <v/>
      </c>
    </row>
    <row r="113">
      <c r="A113" s="11" t="n"/>
      <c r="B113" s="11" t="n"/>
      <c r="C113" s="11" t="n"/>
      <c r="D113" s="13" t="n"/>
      <c r="E113" s="11" t="n"/>
      <c r="F113" s="11" t="n"/>
      <c r="G113" s="11" t="n"/>
      <c r="H113" s="11" t="n"/>
      <c r="I113" s="11" t="n"/>
      <c r="J113" s="11" t="n"/>
      <c r="K113" s="11" t="n"/>
      <c r="L113" s="14">
        <f>IF($C113="","",IFERROR(VLOOKUP($C113,Setup!$A$17:$B$22,2,FALSE),1))</f>
        <v/>
      </c>
      <c r="M113" s="14">
        <f>IF($K113="",$L113,$K113)</f>
        <v/>
      </c>
      <c r="N113" s="14">
        <f>IF(OR($E113="",$F113=""),"",1-(1-$E113)^$F113)</f>
        <v/>
      </c>
      <c r="O113" s="14">
        <f>IF(OR($N113="",$G113=""),"",$N113*$G113)</f>
        <v/>
      </c>
      <c r="P113" s="14">
        <f>IF(OR($O113="",$I113="",$J113="",$H113=""),"",$O113*$I113*$J113*(1-$H113))</f>
        <v/>
      </c>
      <c r="Q113" s="14">
        <f>IF(OR($P113="",$M113=""),"",$P113*$M113)</f>
        <v/>
      </c>
      <c r="R113" s="11" t="n"/>
      <c r="S113" s="13" t="n"/>
      <c r="T113" s="14">
        <f>IF($Q113="","",$Q113+ROW()/1000000)</f>
        <v/>
      </c>
    </row>
    <row r="114">
      <c r="A114" s="11" t="n"/>
      <c r="B114" s="11" t="n"/>
      <c r="C114" s="11" t="n"/>
      <c r="D114" s="13" t="n"/>
      <c r="E114" s="11" t="n"/>
      <c r="F114" s="11" t="n"/>
      <c r="G114" s="11" t="n"/>
      <c r="H114" s="11" t="n"/>
      <c r="I114" s="11" t="n"/>
      <c r="J114" s="11" t="n"/>
      <c r="K114" s="11" t="n"/>
      <c r="L114" s="14">
        <f>IF($C114="","",IFERROR(VLOOKUP($C114,Setup!$A$17:$B$22,2,FALSE),1))</f>
        <v/>
      </c>
      <c r="M114" s="14">
        <f>IF($K114="",$L114,$K114)</f>
        <v/>
      </c>
      <c r="N114" s="14">
        <f>IF(OR($E114="",$F114=""),"",1-(1-$E114)^$F114)</f>
        <v/>
      </c>
      <c r="O114" s="14">
        <f>IF(OR($N114="",$G114=""),"",$N114*$G114)</f>
        <v/>
      </c>
      <c r="P114" s="14">
        <f>IF(OR($O114="",$I114="",$J114="",$H114=""),"",$O114*$I114*$J114*(1-$H114))</f>
        <v/>
      </c>
      <c r="Q114" s="14">
        <f>IF(OR($P114="",$M114=""),"",$P114*$M114)</f>
        <v/>
      </c>
      <c r="R114" s="11" t="n"/>
      <c r="S114" s="13" t="n"/>
      <c r="T114" s="14">
        <f>IF($Q114="","",$Q114+ROW()/1000000)</f>
        <v/>
      </c>
    </row>
    <row r="115">
      <c r="A115" s="11" t="n"/>
      <c r="B115" s="11" t="n"/>
      <c r="C115" s="11" t="n"/>
      <c r="D115" s="13" t="n"/>
      <c r="E115" s="11" t="n"/>
      <c r="F115" s="11" t="n"/>
      <c r="G115" s="11" t="n"/>
      <c r="H115" s="11" t="n"/>
      <c r="I115" s="11" t="n"/>
      <c r="J115" s="11" t="n"/>
      <c r="K115" s="11" t="n"/>
      <c r="L115" s="14">
        <f>IF($C115="","",IFERROR(VLOOKUP($C115,Setup!$A$17:$B$22,2,FALSE),1))</f>
        <v/>
      </c>
      <c r="M115" s="14">
        <f>IF($K115="",$L115,$K115)</f>
        <v/>
      </c>
      <c r="N115" s="14">
        <f>IF(OR($E115="",$F115=""),"",1-(1-$E115)^$F115)</f>
        <v/>
      </c>
      <c r="O115" s="14">
        <f>IF(OR($N115="",$G115=""),"",$N115*$G115)</f>
        <v/>
      </c>
      <c r="P115" s="14">
        <f>IF(OR($O115="",$I115="",$J115="",$H115=""),"",$O115*$I115*$J115*(1-$H115))</f>
        <v/>
      </c>
      <c r="Q115" s="14">
        <f>IF(OR($P115="",$M115=""),"",$P115*$M115)</f>
        <v/>
      </c>
      <c r="R115" s="11" t="n"/>
      <c r="S115" s="13" t="n"/>
      <c r="T115" s="14">
        <f>IF($Q115="","",$Q115+ROW()/1000000)</f>
        <v/>
      </c>
    </row>
    <row r="116">
      <c r="A116" s="11" t="n"/>
      <c r="B116" s="11" t="n"/>
      <c r="C116" s="11" t="n"/>
      <c r="D116" s="13" t="n"/>
      <c r="E116" s="11" t="n"/>
      <c r="F116" s="11" t="n"/>
      <c r="G116" s="11" t="n"/>
      <c r="H116" s="11" t="n"/>
      <c r="I116" s="11" t="n"/>
      <c r="J116" s="11" t="n"/>
      <c r="K116" s="11" t="n"/>
      <c r="L116" s="14">
        <f>IF($C116="","",IFERROR(VLOOKUP($C116,Setup!$A$17:$B$22,2,FALSE),1))</f>
        <v/>
      </c>
      <c r="M116" s="14">
        <f>IF($K116="",$L116,$K116)</f>
        <v/>
      </c>
      <c r="N116" s="14">
        <f>IF(OR($E116="",$F116=""),"",1-(1-$E116)^$F116)</f>
        <v/>
      </c>
      <c r="O116" s="14">
        <f>IF(OR($N116="",$G116=""),"",$N116*$G116)</f>
        <v/>
      </c>
      <c r="P116" s="14">
        <f>IF(OR($O116="",$I116="",$J116="",$H116=""),"",$O116*$I116*$J116*(1-$H116))</f>
        <v/>
      </c>
      <c r="Q116" s="14">
        <f>IF(OR($P116="",$M116=""),"",$P116*$M116)</f>
        <v/>
      </c>
      <c r="R116" s="11" t="n"/>
      <c r="S116" s="13" t="n"/>
      <c r="T116" s="14">
        <f>IF($Q116="","",$Q116+ROW()/1000000)</f>
        <v/>
      </c>
    </row>
    <row r="117">
      <c r="A117" s="11" t="n"/>
      <c r="B117" s="11" t="n"/>
      <c r="C117" s="11" t="n"/>
      <c r="D117" s="13" t="n"/>
      <c r="E117" s="11" t="n"/>
      <c r="F117" s="11" t="n"/>
      <c r="G117" s="11" t="n"/>
      <c r="H117" s="11" t="n"/>
      <c r="I117" s="11" t="n"/>
      <c r="J117" s="11" t="n"/>
      <c r="K117" s="11" t="n"/>
      <c r="L117" s="14">
        <f>IF($C117="","",IFERROR(VLOOKUP($C117,Setup!$A$17:$B$22,2,FALSE),1))</f>
        <v/>
      </c>
      <c r="M117" s="14">
        <f>IF($K117="",$L117,$K117)</f>
        <v/>
      </c>
      <c r="N117" s="14">
        <f>IF(OR($E117="",$F117=""),"",1-(1-$E117)^$F117)</f>
        <v/>
      </c>
      <c r="O117" s="14">
        <f>IF(OR($N117="",$G117=""),"",$N117*$G117)</f>
        <v/>
      </c>
      <c r="P117" s="14">
        <f>IF(OR($O117="",$I117="",$J117="",$H117=""),"",$O117*$I117*$J117*(1-$H117))</f>
        <v/>
      </c>
      <c r="Q117" s="14">
        <f>IF(OR($P117="",$M117=""),"",$P117*$M117)</f>
        <v/>
      </c>
      <c r="R117" s="11" t="n"/>
      <c r="S117" s="13" t="n"/>
      <c r="T117" s="14">
        <f>IF($Q117="","",$Q117+ROW()/1000000)</f>
        <v/>
      </c>
    </row>
    <row r="118">
      <c r="A118" s="11" t="n"/>
      <c r="B118" s="11" t="n"/>
      <c r="C118" s="11" t="n"/>
      <c r="D118" s="13" t="n"/>
      <c r="E118" s="11" t="n"/>
      <c r="F118" s="11" t="n"/>
      <c r="G118" s="11" t="n"/>
      <c r="H118" s="11" t="n"/>
      <c r="I118" s="11" t="n"/>
      <c r="J118" s="11" t="n"/>
      <c r="K118" s="11" t="n"/>
      <c r="L118" s="14">
        <f>IF($C118="","",IFERROR(VLOOKUP($C118,Setup!$A$17:$B$22,2,FALSE),1))</f>
        <v/>
      </c>
      <c r="M118" s="14">
        <f>IF($K118="",$L118,$K118)</f>
        <v/>
      </c>
      <c r="N118" s="14">
        <f>IF(OR($E118="",$F118=""),"",1-(1-$E118)^$F118)</f>
        <v/>
      </c>
      <c r="O118" s="14">
        <f>IF(OR($N118="",$G118=""),"",$N118*$G118)</f>
        <v/>
      </c>
      <c r="P118" s="14">
        <f>IF(OR($O118="",$I118="",$J118="",$H118=""),"",$O118*$I118*$J118*(1-$H118))</f>
        <v/>
      </c>
      <c r="Q118" s="14">
        <f>IF(OR($P118="",$M118=""),"",$P118*$M118)</f>
        <v/>
      </c>
      <c r="R118" s="11" t="n"/>
      <c r="S118" s="13" t="n"/>
      <c r="T118" s="14">
        <f>IF($Q118="","",$Q118+ROW()/1000000)</f>
        <v/>
      </c>
    </row>
    <row r="119">
      <c r="A119" s="11" t="n"/>
      <c r="B119" s="11" t="n"/>
      <c r="C119" s="11" t="n"/>
      <c r="D119" s="13" t="n"/>
      <c r="E119" s="11" t="n"/>
      <c r="F119" s="11" t="n"/>
      <c r="G119" s="11" t="n"/>
      <c r="H119" s="11" t="n"/>
      <c r="I119" s="11" t="n"/>
      <c r="J119" s="11" t="n"/>
      <c r="K119" s="11" t="n"/>
      <c r="L119" s="14">
        <f>IF($C119="","",IFERROR(VLOOKUP($C119,Setup!$A$17:$B$22,2,FALSE),1))</f>
        <v/>
      </c>
      <c r="M119" s="14">
        <f>IF($K119="",$L119,$K119)</f>
        <v/>
      </c>
      <c r="N119" s="14">
        <f>IF(OR($E119="",$F119=""),"",1-(1-$E119)^$F119)</f>
        <v/>
      </c>
      <c r="O119" s="14">
        <f>IF(OR($N119="",$G119=""),"",$N119*$G119)</f>
        <v/>
      </c>
      <c r="P119" s="14">
        <f>IF(OR($O119="",$I119="",$J119="",$H119=""),"",$O119*$I119*$J119*(1-$H119))</f>
        <v/>
      </c>
      <c r="Q119" s="14">
        <f>IF(OR($P119="",$M119=""),"",$P119*$M119)</f>
        <v/>
      </c>
      <c r="R119" s="11" t="n"/>
      <c r="S119" s="13" t="n"/>
      <c r="T119" s="14">
        <f>IF($Q119="","",$Q119+ROW()/1000000)</f>
        <v/>
      </c>
    </row>
    <row r="120">
      <c r="A120" s="11" t="n"/>
      <c r="B120" s="11" t="n"/>
      <c r="C120" s="11" t="n"/>
      <c r="D120" s="13" t="n"/>
      <c r="E120" s="11" t="n"/>
      <c r="F120" s="11" t="n"/>
      <c r="G120" s="11" t="n"/>
      <c r="H120" s="11" t="n"/>
      <c r="I120" s="11" t="n"/>
      <c r="J120" s="11" t="n"/>
      <c r="K120" s="11" t="n"/>
      <c r="L120" s="14">
        <f>IF($C120="","",IFERROR(VLOOKUP($C120,Setup!$A$17:$B$22,2,FALSE),1))</f>
        <v/>
      </c>
      <c r="M120" s="14">
        <f>IF($K120="",$L120,$K120)</f>
        <v/>
      </c>
      <c r="N120" s="14">
        <f>IF(OR($E120="",$F120=""),"",1-(1-$E120)^$F120)</f>
        <v/>
      </c>
      <c r="O120" s="14">
        <f>IF(OR($N120="",$G120=""),"",$N120*$G120)</f>
        <v/>
      </c>
      <c r="P120" s="14">
        <f>IF(OR($O120="",$I120="",$J120="",$H120=""),"",$O120*$I120*$J120*(1-$H120))</f>
        <v/>
      </c>
      <c r="Q120" s="14">
        <f>IF(OR($P120="",$M120=""),"",$P120*$M120)</f>
        <v/>
      </c>
      <c r="R120" s="11" t="n"/>
      <c r="S120" s="13" t="n"/>
      <c r="T120" s="14">
        <f>IF($Q120="","",$Q120+ROW()/1000000)</f>
        <v/>
      </c>
    </row>
    <row r="121">
      <c r="A121" s="11" t="n"/>
      <c r="B121" s="11" t="n"/>
      <c r="C121" s="11" t="n"/>
      <c r="D121" s="13" t="n"/>
      <c r="E121" s="11" t="n"/>
      <c r="F121" s="11" t="n"/>
      <c r="G121" s="11" t="n"/>
      <c r="H121" s="11" t="n"/>
      <c r="I121" s="11" t="n"/>
      <c r="J121" s="11" t="n"/>
      <c r="K121" s="11" t="n"/>
      <c r="L121" s="14">
        <f>IF($C121="","",IFERROR(VLOOKUP($C121,Setup!$A$17:$B$22,2,FALSE),1))</f>
        <v/>
      </c>
      <c r="M121" s="14">
        <f>IF($K121="",$L121,$K121)</f>
        <v/>
      </c>
      <c r="N121" s="14">
        <f>IF(OR($E121="",$F121=""),"",1-(1-$E121)^$F121)</f>
        <v/>
      </c>
      <c r="O121" s="14">
        <f>IF(OR($N121="",$G121=""),"",$N121*$G121)</f>
        <v/>
      </c>
      <c r="P121" s="14">
        <f>IF(OR($O121="",$I121="",$J121="",$H121=""),"",$O121*$I121*$J121*(1-$H121))</f>
        <v/>
      </c>
      <c r="Q121" s="14">
        <f>IF(OR($P121="",$M121=""),"",$P121*$M121)</f>
        <v/>
      </c>
      <c r="R121" s="11" t="n"/>
      <c r="S121" s="13" t="n"/>
      <c r="T121" s="14">
        <f>IF($Q121="","",$Q121+ROW()/1000000)</f>
        <v/>
      </c>
    </row>
    <row r="122">
      <c r="A122" s="11" t="n"/>
      <c r="B122" s="11" t="n"/>
      <c r="C122" s="11" t="n"/>
      <c r="D122" s="13" t="n"/>
      <c r="E122" s="11" t="n"/>
      <c r="F122" s="11" t="n"/>
      <c r="G122" s="11" t="n"/>
      <c r="H122" s="11" t="n"/>
      <c r="I122" s="11" t="n"/>
      <c r="J122" s="11" t="n"/>
      <c r="K122" s="11" t="n"/>
      <c r="L122" s="14">
        <f>IF($C122="","",IFERROR(VLOOKUP($C122,Setup!$A$17:$B$22,2,FALSE),1))</f>
        <v/>
      </c>
      <c r="M122" s="14">
        <f>IF($K122="",$L122,$K122)</f>
        <v/>
      </c>
      <c r="N122" s="14">
        <f>IF(OR($E122="",$F122=""),"",1-(1-$E122)^$F122)</f>
        <v/>
      </c>
      <c r="O122" s="14">
        <f>IF(OR($N122="",$G122=""),"",$N122*$G122)</f>
        <v/>
      </c>
      <c r="P122" s="14">
        <f>IF(OR($O122="",$I122="",$J122="",$H122=""),"",$O122*$I122*$J122*(1-$H122))</f>
        <v/>
      </c>
      <c r="Q122" s="14">
        <f>IF(OR($P122="",$M122=""),"",$P122*$M122)</f>
        <v/>
      </c>
      <c r="R122" s="11" t="n"/>
      <c r="S122" s="13" t="n"/>
      <c r="T122" s="14">
        <f>IF($Q122="","",$Q122+ROW()/1000000)</f>
        <v/>
      </c>
    </row>
    <row r="123">
      <c r="A123" s="11" t="n"/>
      <c r="B123" s="11" t="n"/>
      <c r="C123" s="11" t="n"/>
      <c r="D123" s="13" t="n"/>
      <c r="E123" s="11" t="n"/>
      <c r="F123" s="11" t="n"/>
      <c r="G123" s="11" t="n"/>
      <c r="H123" s="11" t="n"/>
      <c r="I123" s="11" t="n"/>
      <c r="J123" s="11" t="n"/>
      <c r="K123" s="11" t="n"/>
      <c r="L123" s="14">
        <f>IF($C123="","",IFERROR(VLOOKUP($C123,Setup!$A$17:$B$22,2,FALSE),1))</f>
        <v/>
      </c>
      <c r="M123" s="14">
        <f>IF($K123="",$L123,$K123)</f>
        <v/>
      </c>
      <c r="N123" s="14">
        <f>IF(OR($E123="",$F123=""),"",1-(1-$E123)^$F123)</f>
        <v/>
      </c>
      <c r="O123" s="14">
        <f>IF(OR($N123="",$G123=""),"",$N123*$G123)</f>
        <v/>
      </c>
      <c r="P123" s="14">
        <f>IF(OR($O123="",$I123="",$J123="",$H123=""),"",$O123*$I123*$J123*(1-$H123))</f>
        <v/>
      </c>
      <c r="Q123" s="14">
        <f>IF(OR($P123="",$M123=""),"",$P123*$M123)</f>
        <v/>
      </c>
      <c r="R123" s="11" t="n"/>
      <c r="S123" s="13" t="n"/>
      <c r="T123" s="14">
        <f>IF($Q123="","",$Q123+ROW()/1000000)</f>
        <v/>
      </c>
    </row>
    <row r="124">
      <c r="A124" s="11" t="n"/>
      <c r="B124" s="11" t="n"/>
      <c r="C124" s="11" t="n"/>
      <c r="D124" s="13" t="n"/>
      <c r="E124" s="11" t="n"/>
      <c r="F124" s="11" t="n"/>
      <c r="G124" s="11" t="n"/>
      <c r="H124" s="11" t="n"/>
      <c r="I124" s="11" t="n"/>
      <c r="J124" s="11" t="n"/>
      <c r="K124" s="11" t="n"/>
      <c r="L124" s="14">
        <f>IF($C124="","",IFERROR(VLOOKUP($C124,Setup!$A$17:$B$22,2,FALSE),1))</f>
        <v/>
      </c>
      <c r="M124" s="14">
        <f>IF($K124="",$L124,$K124)</f>
        <v/>
      </c>
      <c r="N124" s="14">
        <f>IF(OR($E124="",$F124=""),"",1-(1-$E124)^$F124)</f>
        <v/>
      </c>
      <c r="O124" s="14">
        <f>IF(OR($N124="",$G124=""),"",$N124*$G124)</f>
        <v/>
      </c>
      <c r="P124" s="14">
        <f>IF(OR($O124="",$I124="",$J124="",$H124=""),"",$O124*$I124*$J124*(1-$H124))</f>
        <v/>
      </c>
      <c r="Q124" s="14">
        <f>IF(OR($P124="",$M124=""),"",$P124*$M124)</f>
        <v/>
      </c>
      <c r="R124" s="11" t="n"/>
      <c r="S124" s="13" t="n"/>
      <c r="T124" s="14">
        <f>IF($Q124="","",$Q124+ROW()/1000000)</f>
        <v/>
      </c>
    </row>
    <row r="125">
      <c r="A125" s="11" t="n"/>
      <c r="B125" s="11" t="n"/>
      <c r="C125" s="11" t="n"/>
      <c r="D125" s="13" t="n"/>
      <c r="E125" s="11" t="n"/>
      <c r="F125" s="11" t="n"/>
      <c r="G125" s="11" t="n"/>
      <c r="H125" s="11" t="n"/>
      <c r="I125" s="11" t="n"/>
      <c r="J125" s="11" t="n"/>
      <c r="K125" s="11" t="n"/>
      <c r="L125" s="14">
        <f>IF($C125="","",IFERROR(VLOOKUP($C125,Setup!$A$17:$B$22,2,FALSE),1))</f>
        <v/>
      </c>
      <c r="M125" s="14">
        <f>IF($K125="",$L125,$K125)</f>
        <v/>
      </c>
      <c r="N125" s="14">
        <f>IF(OR($E125="",$F125=""),"",1-(1-$E125)^$F125)</f>
        <v/>
      </c>
      <c r="O125" s="14">
        <f>IF(OR($N125="",$G125=""),"",$N125*$G125)</f>
        <v/>
      </c>
      <c r="P125" s="14">
        <f>IF(OR($O125="",$I125="",$J125="",$H125=""),"",$O125*$I125*$J125*(1-$H125))</f>
        <v/>
      </c>
      <c r="Q125" s="14">
        <f>IF(OR($P125="",$M125=""),"",$P125*$M125)</f>
        <v/>
      </c>
      <c r="R125" s="11" t="n"/>
      <c r="S125" s="13" t="n"/>
      <c r="T125" s="14">
        <f>IF($Q125="","",$Q125+ROW()/1000000)</f>
        <v/>
      </c>
    </row>
    <row r="126">
      <c r="A126" s="11" t="n"/>
      <c r="B126" s="11" t="n"/>
      <c r="C126" s="11" t="n"/>
      <c r="D126" s="13" t="n"/>
      <c r="E126" s="11" t="n"/>
      <c r="F126" s="11" t="n"/>
      <c r="G126" s="11" t="n"/>
      <c r="H126" s="11" t="n"/>
      <c r="I126" s="11" t="n"/>
      <c r="J126" s="11" t="n"/>
      <c r="K126" s="11" t="n"/>
      <c r="L126" s="14">
        <f>IF($C126="","",IFERROR(VLOOKUP($C126,Setup!$A$17:$B$22,2,FALSE),1))</f>
        <v/>
      </c>
      <c r="M126" s="14">
        <f>IF($K126="",$L126,$K126)</f>
        <v/>
      </c>
      <c r="N126" s="14">
        <f>IF(OR($E126="",$F126=""),"",1-(1-$E126)^$F126)</f>
        <v/>
      </c>
      <c r="O126" s="14">
        <f>IF(OR($N126="",$G126=""),"",$N126*$G126)</f>
        <v/>
      </c>
      <c r="P126" s="14">
        <f>IF(OR($O126="",$I126="",$J126="",$H126=""),"",$O126*$I126*$J126*(1-$H126))</f>
        <v/>
      </c>
      <c r="Q126" s="14">
        <f>IF(OR($P126="",$M126=""),"",$P126*$M126)</f>
        <v/>
      </c>
      <c r="R126" s="11" t="n"/>
      <c r="S126" s="13" t="n"/>
      <c r="T126" s="14">
        <f>IF($Q126="","",$Q126+ROW()/1000000)</f>
        <v/>
      </c>
    </row>
    <row r="127">
      <c r="A127" s="11" t="n"/>
      <c r="B127" s="11" t="n"/>
      <c r="C127" s="11" t="n"/>
      <c r="D127" s="13" t="n"/>
      <c r="E127" s="11" t="n"/>
      <c r="F127" s="11" t="n"/>
      <c r="G127" s="11" t="n"/>
      <c r="H127" s="11" t="n"/>
      <c r="I127" s="11" t="n"/>
      <c r="J127" s="11" t="n"/>
      <c r="K127" s="11" t="n"/>
      <c r="L127" s="14">
        <f>IF($C127="","",IFERROR(VLOOKUP($C127,Setup!$A$17:$B$22,2,FALSE),1))</f>
        <v/>
      </c>
      <c r="M127" s="14">
        <f>IF($K127="",$L127,$K127)</f>
        <v/>
      </c>
      <c r="N127" s="14">
        <f>IF(OR($E127="",$F127=""),"",1-(1-$E127)^$F127)</f>
        <v/>
      </c>
      <c r="O127" s="14">
        <f>IF(OR($N127="",$G127=""),"",$N127*$G127)</f>
        <v/>
      </c>
      <c r="P127" s="14">
        <f>IF(OR($O127="",$I127="",$J127="",$H127=""),"",$O127*$I127*$J127*(1-$H127))</f>
        <v/>
      </c>
      <c r="Q127" s="14">
        <f>IF(OR($P127="",$M127=""),"",$P127*$M127)</f>
        <v/>
      </c>
      <c r="R127" s="11" t="n"/>
      <c r="S127" s="13" t="n"/>
      <c r="T127" s="14">
        <f>IF($Q127="","",$Q127+ROW()/1000000)</f>
        <v/>
      </c>
    </row>
    <row r="128">
      <c r="A128" s="11" t="n"/>
      <c r="B128" s="11" t="n"/>
      <c r="C128" s="11" t="n"/>
      <c r="D128" s="13" t="n"/>
      <c r="E128" s="11" t="n"/>
      <c r="F128" s="11" t="n"/>
      <c r="G128" s="11" t="n"/>
      <c r="H128" s="11" t="n"/>
      <c r="I128" s="11" t="n"/>
      <c r="J128" s="11" t="n"/>
      <c r="K128" s="11" t="n"/>
      <c r="L128" s="14">
        <f>IF($C128="","",IFERROR(VLOOKUP($C128,Setup!$A$17:$B$22,2,FALSE),1))</f>
        <v/>
      </c>
      <c r="M128" s="14">
        <f>IF($K128="",$L128,$K128)</f>
        <v/>
      </c>
      <c r="N128" s="14">
        <f>IF(OR($E128="",$F128=""),"",1-(1-$E128)^$F128)</f>
        <v/>
      </c>
      <c r="O128" s="14">
        <f>IF(OR($N128="",$G128=""),"",$N128*$G128)</f>
        <v/>
      </c>
      <c r="P128" s="14">
        <f>IF(OR($O128="",$I128="",$J128="",$H128=""),"",$O128*$I128*$J128*(1-$H128))</f>
        <v/>
      </c>
      <c r="Q128" s="14">
        <f>IF(OR($P128="",$M128=""),"",$P128*$M128)</f>
        <v/>
      </c>
      <c r="R128" s="11" t="n"/>
      <c r="S128" s="13" t="n"/>
      <c r="T128" s="14">
        <f>IF($Q128="","",$Q128+ROW()/1000000)</f>
        <v/>
      </c>
    </row>
    <row r="129">
      <c r="A129" s="11" t="n"/>
      <c r="B129" s="11" t="n"/>
      <c r="C129" s="11" t="n"/>
      <c r="D129" s="13" t="n"/>
      <c r="E129" s="11" t="n"/>
      <c r="F129" s="11" t="n"/>
      <c r="G129" s="11" t="n"/>
      <c r="H129" s="11" t="n"/>
      <c r="I129" s="11" t="n"/>
      <c r="J129" s="11" t="n"/>
      <c r="K129" s="11" t="n"/>
      <c r="L129" s="14">
        <f>IF($C129="","",IFERROR(VLOOKUP($C129,Setup!$A$17:$B$22,2,FALSE),1))</f>
        <v/>
      </c>
      <c r="M129" s="14">
        <f>IF($K129="",$L129,$K129)</f>
        <v/>
      </c>
      <c r="N129" s="14">
        <f>IF(OR($E129="",$F129=""),"",1-(1-$E129)^$F129)</f>
        <v/>
      </c>
      <c r="O129" s="14">
        <f>IF(OR($N129="",$G129=""),"",$N129*$G129)</f>
        <v/>
      </c>
      <c r="P129" s="14">
        <f>IF(OR($O129="",$I129="",$J129="",$H129=""),"",$O129*$I129*$J129*(1-$H129))</f>
        <v/>
      </c>
      <c r="Q129" s="14">
        <f>IF(OR($P129="",$M129=""),"",$P129*$M129)</f>
        <v/>
      </c>
      <c r="R129" s="11" t="n"/>
      <c r="S129" s="13" t="n"/>
      <c r="T129" s="14">
        <f>IF($Q129="","",$Q129+ROW()/1000000)</f>
        <v/>
      </c>
    </row>
    <row r="130">
      <c r="A130" s="11" t="n"/>
      <c r="B130" s="11" t="n"/>
      <c r="C130" s="11" t="n"/>
      <c r="D130" s="13" t="n"/>
      <c r="E130" s="11" t="n"/>
      <c r="F130" s="11" t="n"/>
      <c r="G130" s="11" t="n"/>
      <c r="H130" s="11" t="n"/>
      <c r="I130" s="11" t="n"/>
      <c r="J130" s="11" t="n"/>
      <c r="K130" s="11" t="n"/>
      <c r="L130" s="14">
        <f>IF($C130="","",IFERROR(VLOOKUP($C130,Setup!$A$17:$B$22,2,FALSE),1))</f>
        <v/>
      </c>
      <c r="M130" s="14">
        <f>IF($K130="",$L130,$K130)</f>
        <v/>
      </c>
      <c r="N130" s="14">
        <f>IF(OR($E130="",$F130=""),"",1-(1-$E130)^$F130)</f>
        <v/>
      </c>
      <c r="O130" s="14">
        <f>IF(OR($N130="",$G130=""),"",$N130*$G130)</f>
        <v/>
      </c>
      <c r="P130" s="14">
        <f>IF(OR($O130="",$I130="",$J130="",$H130=""),"",$O130*$I130*$J130*(1-$H130))</f>
        <v/>
      </c>
      <c r="Q130" s="14">
        <f>IF(OR($P130="",$M130=""),"",$P130*$M130)</f>
        <v/>
      </c>
      <c r="R130" s="11" t="n"/>
      <c r="S130" s="13" t="n"/>
      <c r="T130" s="14">
        <f>IF($Q130="","",$Q130+ROW()/1000000)</f>
        <v/>
      </c>
    </row>
    <row r="131">
      <c r="A131" s="11" t="n"/>
      <c r="B131" s="11" t="n"/>
      <c r="C131" s="11" t="n"/>
      <c r="D131" s="13" t="n"/>
      <c r="E131" s="11" t="n"/>
      <c r="F131" s="11" t="n"/>
      <c r="G131" s="11" t="n"/>
      <c r="H131" s="11" t="n"/>
      <c r="I131" s="11" t="n"/>
      <c r="J131" s="11" t="n"/>
      <c r="K131" s="11" t="n"/>
      <c r="L131" s="14">
        <f>IF($C131="","",IFERROR(VLOOKUP($C131,Setup!$A$17:$B$22,2,FALSE),1))</f>
        <v/>
      </c>
      <c r="M131" s="14">
        <f>IF($K131="",$L131,$K131)</f>
        <v/>
      </c>
      <c r="N131" s="14">
        <f>IF(OR($E131="",$F131=""),"",1-(1-$E131)^$F131)</f>
        <v/>
      </c>
      <c r="O131" s="14">
        <f>IF(OR($N131="",$G131=""),"",$N131*$G131)</f>
        <v/>
      </c>
      <c r="P131" s="14">
        <f>IF(OR($O131="",$I131="",$J131="",$H131=""),"",$O131*$I131*$J131*(1-$H131))</f>
        <v/>
      </c>
      <c r="Q131" s="14">
        <f>IF(OR($P131="",$M131=""),"",$P131*$M131)</f>
        <v/>
      </c>
      <c r="R131" s="11" t="n"/>
      <c r="S131" s="13" t="n"/>
      <c r="T131" s="14">
        <f>IF($Q131="","",$Q131+ROW()/1000000)</f>
        <v/>
      </c>
    </row>
    <row r="132">
      <c r="A132" s="11" t="n"/>
      <c r="B132" s="11" t="n"/>
      <c r="C132" s="11" t="n"/>
      <c r="D132" s="13" t="n"/>
      <c r="E132" s="11" t="n"/>
      <c r="F132" s="11" t="n"/>
      <c r="G132" s="11" t="n"/>
      <c r="H132" s="11" t="n"/>
      <c r="I132" s="11" t="n"/>
      <c r="J132" s="11" t="n"/>
      <c r="K132" s="11" t="n"/>
      <c r="L132" s="14">
        <f>IF($C132="","",IFERROR(VLOOKUP($C132,Setup!$A$17:$B$22,2,FALSE),1))</f>
        <v/>
      </c>
      <c r="M132" s="14">
        <f>IF($K132="",$L132,$K132)</f>
        <v/>
      </c>
      <c r="N132" s="14">
        <f>IF(OR($E132="",$F132=""),"",1-(1-$E132)^$F132)</f>
        <v/>
      </c>
      <c r="O132" s="14">
        <f>IF(OR($N132="",$G132=""),"",$N132*$G132)</f>
        <v/>
      </c>
      <c r="P132" s="14">
        <f>IF(OR($O132="",$I132="",$J132="",$H132=""),"",$O132*$I132*$J132*(1-$H132))</f>
        <v/>
      </c>
      <c r="Q132" s="14">
        <f>IF(OR($P132="",$M132=""),"",$P132*$M132)</f>
        <v/>
      </c>
      <c r="R132" s="11" t="n"/>
      <c r="S132" s="13" t="n"/>
      <c r="T132" s="14">
        <f>IF($Q132="","",$Q132+ROW()/1000000)</f>
        <v/>
      </c>
    </row>
    <row r="133">
      <c r="A133" s="11" t="n"/>
      <c r="B133" s="11" t="n"/>
      <c r="C133" s="11" t="n"/>
      <c r="D133" s="13" t="n"/>
      <c r="E133" s="11" t="n"/>
      <c r="F133" s="11" t="n"/>
      <c r="G133" s="11" t="n"/>
      <c r="H133" s="11" t="n"/>
      <c r="I133" s="11" t="n"/>
      <c r="J133" s="11" t="n"/>
      <c r="K133" s="11" t="n"/>
      <c r="L133" s="14">
        <f>IF($C133="","",IFERROR(VLOOKUP($C133,Setup!$A$17:$B$22,2,FALSE),1))</f>
        <v/>
      </c>
      <c r="M133" s="14">
        <f>IF($K133="",$L133,$K133)</f>
        <v/>
      </c>
      <c r="N133" s="14">
        <f>IF(OR($E133="",$F133=""),"",1-(1-$E133)^$F133)</f>
        <v/>
      </c>
      <c r="O133" s="14">
        <f>IF(OR($N133="",$G133=""),"",$N133*$G133)</f>
        <v/>
      </c>
      <c r="P133" s="14">
        <f>IF(OR($O133="",$I133="",$J133="",$H133=""),"",$O133*$I133*$J133*(1-$H133))</f>
        <v/>
      </c>
      <c r="Q133" s="14">
        <f>IF(OR($P133="",$M133=""),"",$P133*$M133)</f>
        <v/>
      </c>
      <c r="R133" s="11" t="n"/>
      <c r="S133" s="13" t="n"/>
      <c r="T133" s="14">
        <f>IF($Q133="","",$Q133+ROW()/1000000)</f>
        <v/>
      </c>
    </row>
    <row r="134">
      <c r="A134" s="11" t="n"/>
      <c r="B134" s="11" t="n"/>
      <c r="C134" s="11" t="n"/>
      <c r="D134" s="13" t="n"/>
      <c r="E134" s="11" t="n"/>
      <c r="F134" s="11" t="n"/>
      <c r="G134" s="11" t="n"/>
      <c r="H134" s="11" t="n"/>
      <c r="I134" s="11" t="n"/>
      <c r="J134" s="11" t="n"/>
      <c r="K134" s="11" t="n"/>
      <c r="L134" s="14">
        <f>IF($C134="","",IFERROR(VLOOKUP($C134,Setup!$A$17:$B$22,2,FALSE),1))</f>
        <v/>
      </c>
      <c r="M134" s="14">
        <f>IF($K134="",$L134,$K134)</f>
        <v/>
      </c>
      <c r="N134" s="14">
        <f>IF(OR($E134="",$F134=""),"",1-(1-$E134)^$F134)</f>
        <v/>
      </c>
      <c r="O134" s="14">
        <f>IF(OR($N134="",$G134=""),"",$N134*$G134)</f>
        <v/>
      </c>
      <c r="P134" s="14">
        <f>IF(OR($O134="",$I134="",$J134="",$H134=""),"",$O134*$I134*$J134*(1-$H134))</f>
        <v/>
      </c>
      <c r="Q134" s="14">
        <f>IF(OR($P134="",$M134=""),"",$P134*$M134)</f>
        <v/>
      </c>
      <c r="R134" s="11" t="n"/>
      <c r="S134" s="13" t="n"/>
      <c r="T134" s="14">
        <f>IF($Q134="","",$Q134+ROW()/1000000)</f>
        <v/>
      </c>
    </row>
    <row r="135">
      <c r="A135" s="11" t="n"/>
      <c r="B135" s="11" t="n"/>
      <c r="C135" s="11" t="n"/>
      <c r="D135" s="13" t="n"/>
      <c r="E135" s="11" t="n"/>
      <c r="F135" s="11" t="n"/>
      <c r="G135" s="11" t="n"/>
      <c r="H135" s="11" t="n"/>
      <c r="I135" s="11" t="n"/>
      <c r="J135" s="11" t="n"/>
      <c r="K135" s="11" t="n"/>
      <c r="L135" s="14">
        <f>IF($C135="","",IFERROR(VLOOKUP($C135,Setup!$A$17:$B$22,2,FALSE),1))</f>
        <v/>
      </c>
      <c r="M135" s="14">
        <f>IF($K135="",$L135,$K135)</f>
        <v/>
      </c>
      <c r="N135" s="14">
        <f>IF(OR($E135="",$F135=""),"",1-(1-$E135)^$F135)</f>
        <v/>
      </c>
      <c r="O135" s="14">
        <f>IF(OR($N135="",$G135=""),"",$N135*$G135)</f>
        <v/>
      </c>
      <c r="P135" s="14">
        <f>IF(OR($O135="",$I135="",$J135="",$H135=""),"",$O135*$I135*$J135*(1-$H135))</f>
        <v/>
      </c>
      <c r="Q135" s="14">
        <f>IF(OR($P135="",$M135=""),"",$P135*$M135)</f>
        <v/>
      </c>
      <c r="R135" s="11" t="n"/>
      <c r="S135" s="13" t="n"/>
      <c r="T135" s="14">
        <f>IF($Q135="","",$Q135+ROW()/1000000)</f>
        <v/>
      </c>
    </row>
    <row r="136">
      <c r="A136" s="11" t="n"/>
      <c r="B136" s="11" t="n"/>
      <c r="C136" s="11" t="n"/>
      <c r="D136" s="13" t="n"/>
      <c r="E136" s="11" t="n"/>
      <c r="F136" s="11" t="n"/>
      <c r="G136" s="11" t="n"/>
      <c r="H136" s="11" t="n"/>
      <c r="I136" s="11" t="n"/>
      <c r="J136" s="11" t="n"/>
      <c r="K136" s="11" t="n"/>
      <c r="L136" s="14">
        <f>IF($C136="","",IFERROR(VLOOKUP($C136,Setup!$A$17:$B$22,2,FALSE),1))</f>
        <v/>
      </c>
      <c r="M136" s="14">
        <f>IF($K136="",$L136,$K136)</f>
        <v/>
      </c>
      <c r="N136" s="14">
        <f>IF(OR($E136="",$F136=""),"",1-(1-$E136)^$F136)</f>
        <v/>
      </c>
      <c r="O136" s="14">
        <f>IF(OR($N136="",$G136=""),"",$N136*$G136)</f>
        <v/>
      </c>
      <c r="P136" s="14">
        <f>IF(OR($O136="",$I136="",$J136="",$H136=""),"",$O136*$I136*$J136*(1-$H136))</f>
        <v/>
      </c>
      <c r="Q136" s="14">
        <f>IF(OR($P136="",$M136=""),"",$P136*$M136)</f>
        <v/>
      </c>
      <c r="R136" s="11" t="n"/>
      <c r="S136" s="13" t="n"/>
      <c r="T136" s="14">
        <f>IF($Q136="","",$Q136+ROW()/1000000)</f>
        <v/>
      </c>
    </row>
    <row r="137">
      <c r="A137" s="11" t="n"/>
      <c r="B137" s="11" t="n"/>
      <c r="C137" s="11" t="n"/>
      <c r="D137" s="13" t="n"/>
      <c r="E137" s="11" t="n"/>
      <c r="F137" s="11" t="n"/>
      <c r="G137" s="11" t="n"/>
      <c r="H137" s="11" t="n"/>
      <c r="I137" s="11" t="n"/>
      <c r="J137" s="11" t="n"/>
      <c r="K137" s="11" t="n"/>
      <c r="L137" s="14">
        <f>IF($C137="","",IFERROR(VLOOKUP($C137,Setup!$A$17:$B$22,2,FALSE),1))</f>
        <v/>
      </c>
      <c r="M137" s="14">
        <f>IF($K137="",$L137,$K137)</f>
        <v/>
      </c>
      <c r="N137" s="14">
        <f>IF(OR($E137="",$F137=""),"",1-(1-$E137)^$F137)</f>
        <v/>
      </c>
      <c r="O137" s="14">
        <f>IF(OR($N137="",$G137=""),"",$N137*$G137)</f>
        <v/>
      </c>
      <c r="P137" s="14">
        <f>IF(OR($O137="",$I137="",$J137="",$H137=""),"",$O137*$I137*$J137*(1-$H137))</f>
        <v/>
      </c>
      <c r="Q137" s="14">
        <f>IF(OR($P137="",$M137=""),"",$P137*$M137)</f>
        <v/>
      </c>
      <c r="R137" s="11" t="n"/>
      <c r="S137" s="13" t="n"/>
      <c r="T137" s="14">
        <f>IF($Q137="","",$Q137+ROW()/1000000)</f>
        <v/>
      </c>
    </row>
    <row r="138">
      <c r="A138" s="11" t="n"/>
      <c r="B138" s="11" t="n"/>
      <c r="C138" s="11" t="n"/>
      <c r="D138" s="13" t="n"/>
      <c r="E138" s="11" t="n"/>
      <c r="F138" s="11" t="n"/>
      <c r="G138" s="11" t="n"/>
      <c r="H138" s="11" t="n"/>
      <c r="I138" s="11" t="n"/>
      <c r="J138" s="11" t="n"/>
      <c r="K138" s="11" t="n"/>
      <c r="L138" s="14">
        <f>IF($C138="","",IFERROR(VLOOKUP($C138,Setup!$A$17:$B$22,2,FALSE),1))</f>
        <v/>
      </c>
      <c r="M138" s="14">
        <f>IF($K138="",$L138,$K138)</f>
        <v/>
      </c>
      <c r="N138" s="14">
        <f>IF(OR($E138="",$F138=""),"",1-(1-$E138)^$F138)</f>
        <v/>
      </c>
      <c r="O138" s="14">
        <f>IF(OR($N138="",$G138=""),"",$N138*$G138)</f>
        <v/>
      </c>
      <c r="P138" s="14">
        <f>IF(OR($O138="",$I138="",$J138="",$H138=""),"",$O138*$I138*$J138*(1-$H138))</f>
        <v/>
      </c>
      <c r="Q138" s="14">
        <f>IF(OR($P138="",$M138=""),"",$P138*$M138)</f>
        <v/>
      </c>
      <c r="R138" s="11" t="n"/>
      <c r="S138" s="13" t="n"/>
      <c r="T138" s="14">
        <f>IF($Q138="","",$Q138+ROW()/1000000)</f>
        <v/>
      </c>
    </row>
    <row r="139">
      <c r="A139" s="11" t="n"/>
      <c r="B139" s="11" t="n"/>
      <c r="C139" s="11" t="n"/>
      <c r="D139" s="13" t="n"/>
      <c r="E139" s="11" t="n"/>
      <c r="F139" s="11" t="n"/>
      <c r="G139" s="11" t="n"/>
      <c r="H139" s="11" t="n"/>
      <c r="I139" s="11" t="n"/>
      <c r="J139" s="11" t="n"/>
      <c r="K139" s="11" t="n"/>
      <c r="L139" s="14">
        <f>IF($C139="","",IFERROR(VLOOKUP($C139,Setup!$A$17:$B$22,2,FALSE),1))</f>
        <v/>
      </c>
      <c r="M139" s="14">
        <f>IF($K139="",$L139,$K139)</f>
        <v/>
      </c>
      <c r="N139" s="14">
        <f>IF(OR($E139="",$F139=""),"",1-(1-$E139)^$F139)</f>
        <v/>
      </c>
      <c r="O139" s="14">
        <f>IF(OR($N139="",$G139=""),"",$N139*$G139)</f>
        <v/>
      </c>
      <c r="P139" s="14">
        <f>IF(OR($O139="",$I139="",$J139="",$H139=""),"",$O139*$I139*$J139*(1-$H139))</f>
        <v/>
      </c>
      <c r="Q139" s="14">
        <f>IF(OR($P139="",$M139=""),"",$P139*$M139)</f>
        <v/>
      </c>
      <c r="R139" s="11" t="n"/>
      <c r="S139" s="13" t="n"/>
      <c r="T139" s="14">
        <f>IF($Q139="","",$Q139+ROW()/1000000)</f>
        <v/>
      </c>
    </row>
    <row r="140">
      <c r="A140" s="11" t="n"/>
      <c r="B140" s="11" t="n"/>
      <c r="C140" s="11" t="n"/>
      <c r="D140" s="13" t="n"/>
      <c r="E140" s="11" t="n"/>
      <c r="F140" s="11" t="n"/>
      <c r="G140" s="11" t="n"/>
      <c r="H140" s="11" t="n"/>
      <c r="I140" s="11" t="n"/>
      <c r="J140" s="11" t="n"/>
      <c r="K140" s="11" t="n"/>
      <c r="L140" s="14">
        <f>IF($C140="","",IFERROR(VLOOKUP($C140,Setup!$A$17:$B$22,2,FALSE),1))</f>
        <v/>
      </c>
      <c r="M140" s="14">
        <f>IF($K140="",$L140,$K140)</f>
        <v/>
      </c>
      <c r="N140" s="14">
        <f>IF(OR($E140="",$F140=""),"",1-(1-$E140)^$F140)</f>
        <v/>
      </c>
      <c r="O140" s="14">
        <f>IF(OR($N140="",$G140=""),"",$N140*$G140)</f>
        <v/>
      </c>
      <c r="P140" s="14">
        <f>IF(OR($O140="",$I140="",$J140="",$H140=""),"",$O140*$I140*$J140*(1-$H140))</f>
        <v/>
      </c>
      <c r="Q140" s="14">
        <f>IF(OR($P140="",$M140=""),"",$P140*$M140)</f>
        <v/>
      </c>
      <c r="R140" s="11" t="n"/>
      <c r="S140" s="13" t="n"/>
      <c r="T140" s="14">
        <f>IF($Q140="","",$Q140+ROW()/1000000)</f>
        <v/>
      </c>
    </row>
    <row r="141">
      <c r="A141" s="11" t="n"/>
      <c r="B141" s="11" t="n"/>
      <c r="C141" s="11" t="n"/>
      <c r="D141" s="13" t="n"/>
      <c r="E141" s="11" t="n"/>
      <c r="F141" s="11" t="n"/>
      <c r="G141" s="11" t="n"/>
      <c r="H141" s="11" t="n"/>
      <c r="I141" s="11" t="n"/>
      <c r="J141" s="11" t="n"/>
      <c r="K141" s="11" t="n"/>
      <c r="L141" s="14">
        <f>IF($C141="","",IFERROR(VLOOKUP($C141,Setup!$A$17:$B$22,2,FALSE),1))</f>
        <v/>
      </c>
      <c r="M141" s="14">
        <f>IF($K141="",$L141,$K141)</f>
        <v/>
      </c>
      <c r="N141" s="14">
        <f>IF(OR($E141="",$F141=""),"",1-(1-$E141)^$F141)</f>
        <v/>
      </c>
      <c r="O141" s="14">
        <f>IF(OR($N141="",$G141=""),"",$N141*$G141)</f>
        <v/>
      </c>
      <c r="P141" s="14">
        <f>IF(OR($O141="",$I141="",$J141="",$H141=""),"",$O141*$I141*$J141*(1-$H141))</f>
        <v/>
      </c>
      <c r="Q141" s="14">
        <f>IF(OR($P141="",$M141=""),"",$P141*$M141)</f>
        <v/>
      </c>
      <c r="R141" s="11" t="n"/>
      <c r="S141" s="13" t="n"/>
      <c r="T141" s="14">
        <f>IF($Q141="","",$Q141+ROW()/1000000)</f>
        <v/>
      </c>
    </row>
    <row r="142">
      <c r="A142" s="11" t="n"/>
      <c r="B142" s="11" t="n"/>
      <c r="C142" s="11" t="n"/>
      <c r="D142" s="13" t="n"/>
      <c r="E142" s="11" t="n"/>
      <c r="F142" s="11" t="n"/>
      <c r="G142" s="11" t="n"/>
      <c r="H142" s="11" t="n"/>
      <c r="I142" s="11" t="n"/>
      <c r="J142" s="11" t="n"/>
      <c r="K142" s="11" t="n"/>
      <c r="L142" s="14">
        <f>IF($C142="","",IFERROR(VLOOKUP($C142,Setup!$A$17:$B$22,2,FALSE),1))</f>
        <v/>
      </c>
      <c r="M142" s="14">
        <f>IF($K142="",$L142,$K142)</f>
        <v/>
      </c>
      <c r="N142" s="14">
        <f>IF(OR($E142="",$F142=""),"",1-(1-$E142)^$F142)</f>
        <v/>
      </c>
      <c r="O142" s="14">
        <f>IF(OR($N142="",$G142=""),"",$N142*$G142)</f>
        <v/>
      </c>
      <c r="P142" s="14">
        <f>IF(OR($O142="",$I142="",$J142="",$H142=""),"",$O142*$I142*$J142*(1-$H142))</f>
        <v/>
      </c>
      <c r="Q142" s="14">
        <f>IF(OR($P142="",$M142=""),"",$P142*$M142)</f>
        <v/>
      </c>
      <c r="R142" s="11" t="n"/>
      <c r="S142" s="13" t="n"/>
      <c r="T142" s="14">
        <f>IF($Q142="","",$Q142+ROW()/1000000)</f>
        <v/>
      </c>
    </row>
    <row r="143">
      <c r="A143" s="11" t="n"/>
      <c r="B143" s="11" t="n"/>
      <c r="C143" s="11" t="n"/>
      <c r="D143" s="13" t="n"/>
      <c r="E143" s="11" t="n"/>
      <c r="F143" s="11" t="n"/>
      <c r="G143" s="11" t="n"/>
      <c r="H143" s="11" t="n"/>
      <c r="I143" s="11" t="n"/>
      <c r="J143" s="11" t="n"/>
      <c r="K143" s="11" t="n"/>
      <c r="L143" s="14">
        <f>IF($C143="","",IFERROR(VLOOKUP($C143,Setup!$A$17:$B$22,2,FALSE),1))</f>
        <v/>
      </c>
      <c r="M143" s="14">
        <f>IF($K143="",$L143,$K143)</f>
        <v/>
      </c>
      <c r="N143" s="14">
        <f>IF(OR($E143="",$F143=""),"",1-(1-$E143)^$F143)</f>
        <v/>
      </c>
      <c r="O143" s="14">
        <f>IF(OR($N143="",$G143=""),"",$N143*$G143)</f>
        <v/>
      </c>
      <c r="P143" s="14">
        <f>IF(OR($O143="",$I143="",$J143="",$H143=""),"",$O143*$I143*$J143*(1-$H143))</f>
        <v/>
      </c>
      <c r="Q143" s="14">
        <f>IF(OR($P143="",$M143=""),"",$P143*$M143)</f>
        <v/>
      </c>
      <c r="R143" s="11" t="n"/>
      <c r="S143" s="13" t="n"/>
      <c r="T143" s="14">
        <f>IF($Q143="","",$Q143+ROW()/1000000)</f>
        <v/>
      </c>
    </row>
    <row r="144">
      <c r="A144" s="11" t="n"/>
      <c r="B144" s="11" t="n"/>
      <c r="C144" s="11" t="n"/>
      <c r="D144" s="13" t="n"/>
      <c r="E144" s="11" t="n"/>
      <c r="F144" s="11" t="n"/>
      <c r="G144" s="11" t="n"/>
      <c r="H144" s="11" t="n"/>
      <c r="I144" s="11" t="n"/>
      <c r="J144" s="11" t="n"/>
      <c r="K144" s="11" t="n"/>
      <c r="L144" s="14">
        <f>IF($C144="","",IFERROR(VLOOKUP($C144,Setup!$A$17:$B$22,2,FALSE),1))</f>
        <v/>
      </c>
      <c r="M144" s="14">
        <f>IF($K144="",$L144,$K144)</f>
        <v/>
      </c>
      <c r="N144" s="14">
        <f>IF(OR($E144="",$F144=""),"",1-(1-$E144)^$F144)</f>
        <v/>
      </c>
      <c r="O144" s="14">
        <f>IF(OR($N144="",$G144=""),"",$N144*$G144)</f>
        <v/>
      </c>
      <c r="P144" s="14">
        <f>IF(OR($O144="",$I144="",$J144="",$H144=""),"",$O144*$I144*$J144*(1-$H144))</f>
        <v/>
      </c>
      <c r="Q144" s="14">
        <f>IF(OR($P144="",$M144=""),"",$P144*$M144)</f>
        <v/>
      </c>
      <c r="R144" s="11" t="n"/>
      <c r="S144" s="13" t="n"/>
      <c r="T144" s="14">
        <f>IF($Q144="","",$Q144+ROW()/1000000)</f>
        <v/>
      </c>
    </row>
    <row r="145">
      <c r="A145" s="11" t="n"/>
      <c r="B145" s="11" t="n"/>
      <c r="C145" s="11" t="n"/>
      <c r="D145" s="13" t="n"/>
      <c r="E145" s="11" t="n"/>
      <c r="F145" s="11" t="n"/>
      <c r="G145" s="11" t="n"/>
      <c r="H145" s="11" t="n"/>
      <c r="I145" s="11" t="n"/>
      <c r="J145" s="11" t="n"/>
      <c r="K145" s="11" t="n"/>
      <c r="L145" s="14">
        <f>IF($C145="","",IFERROR(VLOOKUP($C145,Setup!$A$17:$B$22,2,FALSE),1))</f>
        <v/>
      </c>
      <c r="M145" s="14">
        <f>IF($K145="",$L145,$K145)</f>
        <v/>
      </c>
      <c r="N145" s="14">
        <f>IF(OR($E145="",$F145=""),"",1-(1-$E145)^$F145)</f>
        <v/>
      </c>
      <c r="O145" s="14">
        <f>IF(OR($N145="",$G145=""),"",$N145*$G145)</f>
        <v/>
      </c>
      <c r="P145" s="14">
        <f>IF(OR($O145="",$I145="",$J145="",$H145=""),"",$O145*$I145*$J145*(1-$H145))</f>
        <v/>
      </c>
      <c r="Q145" s="14">
        <f>IF(OR($P145="",$M145=""),"",$P145*$M145)</f>
        <v/>
      </c>
      <c r="R145" s="11" t="n"/>
      <c r="S145" s="13" t="n"/>
      <c r="T145" s="14">
        <f>IF($Q145="","",$Q145+ROW()/1000000)</f>
        <v/>
      </c>
    </row>
    <row r="146">
      <c r="A146" s="11" t="n"/>
      <c r="B146" s="11" t="n"/>
      <c r="C146" s="11" t="n"/>
      <c r="D146" s="13" t="n"/>
      <c r="E146" s="11" t="n"/>
      <c r="F146" s="11" t="n"/>
      <c r="G146" s="11" t="n"/>
      <c r="H146" s="11" t="n"/>
      <c r="I146" s="11" t="n"/>
      <c r="J146" s="11" t="n"/>
      <c r="K146" s="11" t="n"/>
      <c r="L146" s="14">
        <f>IF($C146="","",IFERROR(VLOOKUP($C146,Setup!$A$17:$B$22,2,FALSE),1))</f>
        <v/>
      </c>
      <c r="M146" s="14">
        <f>IF($K146="",$L146,$K146)</f>
        <v/>
      </c>
      <c r="N146" s="14">
        <f>IF(OR($E146="",$F146=""),"",1-(1-$E146)^$F146)</f>
        <v/>
      </c>
      <c r="O146" s="14">
        <f>IF(OR($N146="",$G146=""),"",$N146*$G146)</f>
        <v/>
      </c>
      <c r="P146" s="14">
        <f>IF(OR($O146="",$I146="",$J146="",$H146=""),"",$O146*$I146*$J146*(1-$H146))</f>
        <v/>
      </c>
      <c r="Q146" s="14">
        <f>IF(OR($P146="",$M146=""),"",$P146*$M146)</f>
        <v/>
      </c>
      <c r="R146" s="11" t="n"/>
      <c r="S146" s="13" t="n"/>
      <c r="T146" s="14">
        <f>IF($Q146="","",$Q146+ROW()/1000000)</f>
        <v/>
      </c>
    </row>
    <row r="147">
      <c r="A147" s="11" t="n"/>
      <c r="B147" s="11" t="n"/>
      <c r="C147" s="11" t="n"/>
      <c r="D147" s="13" t="n"/>
      <c r="E147" s="11" t="n"/>
      <c r="F147" s="11" t="n"/>
      <c r="G147" s="11" t="n"/>
      <c r="H147" s="11" t="n"/>
      <c r="I147" s="11" t="n"/>
      <c r="J147" s="11" t="n"/>
      <c r="K147" s="11" t="n"/>
      <c r="L147" s="14">
        <f>IF($C147="","",IFERROR(VLOOKUP($C147,Setup!$A$17:$B$22,2,FALSE),1))</f>
        <v/>
      </c>
      <c r="M147" s="14">
        <f>IF($K147="",$L147,$K147)</f>
        <v/>
      </c>
      <c r="N147" s="14">
        <f>IF(OR($E147="",$F147=""),"",1-(1-$E147)^$F147)</f>
        <v/>
      </c>
      <c r="O147" s="14">
        <f>IF(OR($N147="",$G147=""),"",$N147*$G147)</f>
        <v/>
      </c>
      <c r="P147" s="14">
        <f>IF(OR($O147="",$I147="",$J147="",$H147=""),"",$O147*$I147*$J147*(1-$H147))</f>
        <v/>
      </c>
      <c r="Q147" s="14">
        <f>IF(OR($P147="",$M147=""),"",$P147*$M147)</f>
        <v/>
      </c>
      <c r="R147" s="11" t="n"/>
      <c r="S147" s="13" t="n"/>
      <c r="T147" s="14">
        <f>IF($Q147="","",$Q147+ROW()/1000000)</f>
        <v/>
      </c>
    </row>
    <row r="148">
      <c r="A148" s="11" t="n"/>
      <c r="B148" s="11" t="n"/>
      <c r="C148" s="11" t="n"/>
      <c r="D148" s="13" t="n"/>
      <c r="E148" s="11" t="n"/>
      <c r="F148" s="11" t="n"/>
      <c r="G148" s="11" t="n"/>
      <c r="H148" s="11" t="n"/>
      <c r="I148" s="11" t="n"/>
      <c r="J148" s="11" t="n"/>
      <c r="K148" s="11" t="n"/>
      <c r="L148" s="14">
        <f>IF($C148="","",IFERROR(VLOOKUP($C148,Setup!$A$17:$B$22,2,FALSE),1))</f>
        <v/>
      </c>
      <c r="M148" s="14">
        <f>IF($K148="",$L148,$K148)</f>
        <v/>
      </c>
      <c r="N148" s="14">
        <f>IF(OR($E148="",$F148=""),"",1-(1-$E148)^$F148)</f>
        <v/>
      </c>
      <c r="O148" s="14">
        <f>IF(OR($N148="",$G148=""),"",$N148*$G148)</f>
        <v/>
      </c>
      <c r="P148" s="14">
        <f>IF(OR($O148="",$I148="",$J148="",$H148=""),"",$O148*$I148*$J148*(1-$H148))</f>
        <v/>
      </c>
      <c r="Q148" s="14">
        <f>IF(OR($P148="",$M148=""),"",$P148*$M148)</f>
        <v/>
      </c>
      <c r="R148" s="11" t="n"/>
      <c r="S148" s="13" t="n"/>
      <c r="T148" s="14">
        <f>IF($Q148="","",$Q148+ROW()/1000000)</f>
        <v/>
      </c>
    </row>
    <row r="149">
      <c r="A149" s="11" t="n"/>
      <c r="B149" s="11" t="n"/>
      <c r="C149" s="11" t="n"/>
      <c r="D149" s="13" t="n"/>
      <c r="E149" s="11" t="n"/>
      <c r="F149" s="11" t="n"/>
      <c r="G149" s="11" t="n"/>
      <c r="H149" s="11" t="n"/>
      <c r="I149" s="11" t="n"/>
      <c r="J149" s="11" t="n"/>
      <c r="K149" s="11" t="n"/>
      <c r="L149" s="14">
        <f>IF($C149="","",IFERROR(VLOOKUP($C149,Setup!$A$17:$B$22,2,FALSE),1))</f>
        <v/>
      </c>
      <c r="M149" s="14">
        <f>IF($K149="",$L149,$K149)</f>
        <v/>
      </c>
      <c r="N149" s="14">
        <f>IF(OR($E149="",$F149=""),"",1-(1-$E149)^$F149)</f>
        <v/>
      </c>
      <c r="O149" s="14">
        <f>IF(OR($N149="",$G149=""),"",$N149*$G149)</f>
        <v/>
      </c>
      <c r="P149" s="14">
        <f>IF(OR($O149="",$I149="",$J149="",$H149=""),"",$O149*$I149*$J149*(1-$H149))</f>
        <v/>
      </c>
      <c r="Q149" s="14">
        <f>IF(OR($P149="",$M149=""),"",$P149*$M149)</f>
        <v/>
      </c>
      <c r="R149" s="11" t="n"/>
      <c r="S149" s="13" t="n"/>
      <c r="T149" s="14">
        <f>IF($Q149="","",$Q149+ROW()/1000000)</f>
        <v/>
      </c>
    </row>
    <row r="150">
      <c r="A150" s="11" t="n"/>
      <c r="B150" s="11" t="n"/>
      <c r="C150" s="11" t="n"/>
      <c r="D150" s="13" t="n"/>
      <c r="E150" s="11" t="n"/>
      <c r="F150" s="11" t="n"/>
      <c r="G150" s="11" t="n"/>
      <c r="H150" s="11" t="n"/>
      <c r="I150" s="11" t="n"/>
      <c r="J150" s="11" t="n"/>
      <c r="K150" s="11" t="n"/>
      <c r="L150" s="14">
        <f>IF($C150="","",IFERROR(VLOOKUP($C150,Setup!$A$17:$B$22,2,FALSE),1))</f>
        <v/>
      </c>
      <c r="M150" s="14">
        <f>IF($K150="",$L150,$K150)</f>
        <v/>
      </c>
      <c r="N150" s="14">
        <f>IF(OR($E150="",$F150=""),"",1-(1-$E150)^$F150)</f>
        <v/>
      </c>
      <c r="O150" s="14">
        <f>IF(OR($N150="",$G150=""),"",$N150*$G150)</f>
        <v/>
      </c>
      <c r="P150" s="14">
        <f>IF(OR($O150="",$I150="",$J150="",$H150=""),"",$O150*$I150*$J150*(1-$H150))</f>
        <v/>
      </c>
      <c r="Q150" s="14">
        <f>IF(OR($P150="",$M150=""),"",$P150*$M150)</f>
        <v/>
      </c>
      <c r="R150" s="11" t="n"/>
      <c r="S150" s="13" t="n"/>
      <c r="T150" s="14">
        <f>IF($Q150="","",$Q150+ROW()/1000000)</f>
        <v/>
      </c>
    </row>
    <row r="151">
      <c r="A151" s="11" t="n"/>
      <c r="B151" s="11" t="n"/>
      <c r="C151" s="11" t="n"/>
      <c r="D151" s="13" t="n"/>
      <c r="E151" s="11" t="n"/>
      <c r="F151" s="11" t="n"/>
      <c r="G151" s="11" t="n"/>
      <c r="H151" s="11" t="n"/>
      <c r="I151" s="11" t="n"/>
      <c r="J151" s="11" t="n"/>
      <c r="K151" s="11" t="n"/>
      <c r="L151" s="14">
        <f>IF($C151="","",IFERROR(VLOOKUP($C151,Setup!$A$17:$B$22,2,FALSE),1))</f>
        <v/>
      </c>
      <c r="M151" s="14">
        <f>IF($K151="",$L151,$K151)</f>
        <v/>
      </c>
      <c r="N151" s="14">
        <f>IF(OR($E151="",$F151=""),"",1-(1-$E151)^$F151)</f>
        <v/>
      </c>
      <c r="O151" s="14">
        <f>IF(OR($N151="",$G151=""),"",$N151*$G151)</f>
        <v/>
      </c>
      <c r="P151" s="14">
        <f>IF(OR($O151="",$I151="",$J151="",$H151=""),"",$O151*$I151*$J151*(1-$H151))</f>
        <v/>
      </c>
      <c r="Q151" s="14">
        <f>IF(OR($P151="",$M151=""),"",$P151*$M151)</f>
        <v/>
      </c>
      <c r="R151" s="11" t="n"/>
      <c r="S151" s="13" t="n"/>
      <c r="T151" s="14">
        <f>IF($Q151="","",$Q151+ROW()/1000000)</f>
        <v/>
      </c>
    </row>
    <row r="152">
      <c r="A152" s="11" t="n"/>
      <c r="B152" s="11" t="n"/>
      <c r="C152" s="11" t="n"/>
      <c r="D152" s="13" t="n"/>
      <c r="E152" s="11" t="n"/>
      <c r="F152" s="11" t="n"/>
      <c r="G152" s="11" t="n"/>
      <c r="H152" s="11" t="n"/>
      <c r="I152" s="11" t="n"/>
      <c r="J152" s="11" t="n"/>
      <c r="K152" s="11" t="n"/>
      <c r="L152" s="14">
        <f>IF($C152="","",IFERROR(VLOOKUP($C152,Setup!$A$17:$B$22,2,FALSE),1))</f>
        <v/>
      </c>
      <c r="M152" s="14">
        <f>IF($K152="",$L152,$K152)</f>
        <v/>
      </c>
      <c r="N152" s="14">
        <f>IF(OR($E152="",$F152=""),"",1-(1-$E152)^$F152)</f>
        <v/>
      </c>
      <c r="O152" s="14">
        <f>IF(OR($N152="",$G152=""),"",$N152*$G152)</f>
        <v/>
      </c>
      <c r="P152" s="14">
        <f>IF(OR($O152="",$I152="",$J152="",$H152=""),"",$O152*$I152*$J152*(1-$H152))</f>
        <v/>
      </c>
      <c r="Q152" s="14">
        <f>IF(OR($P152="",$M152=""),"",$P152*$M152)</f>
        <v/>
      </c>
      <c r="R152" s="11" t="n"/>
      <c r="S152" s="13" t="n"/>
      <c r="T152" s="14">
        <f>IF($Q152="","",$Q152+ROW()/1000000)</f>
        <v/>
      </c>
    </row>
    <row r="153">
      <c r="A153" s="11" t="n"/>
      <c r="B153" s="11" t="n"/>
      <c r="C153" s="11" t="n"/>
      <c r="D153" s="13" t="n"/>
      <c r="E153" s="11" t="n"/>
      <c r="F153" s="11" t="n"/>
      <c r="G153" s="11" t="n"/>
      <c r="H153" s="11" t="n"/>
      <c r="I153" s="11" t="n"/>
      <c r="J153" s="11" t="n"/>
      <c r="K153" s="11" t="n"/>
      <c r="L153" s="14">
        <f>IF($C153="","",IFERROR(VLOOKUP($C153,Setup!$A$17:$B$22,2,FALSE),1))</f>
        <v/>
      </c>
      <c r="M153" s="14">
        <f>IF($K153="",$L153,$K153)</f>
        <v/>
      </c>
      <c r="N153" s="14">
        <f>IF(OR($E153="",$F153=""),"",1-(1-$E153)^$F153)</f>
        <v/>
      </c>
      <c r="O153" s="14">
        <f>IF(OR($N153="",$G153=""),"",$N153*$G153)</f>
        <v/>
      </c>
      <c r="P153" s="14">
        <f>IF(OR($O153="",$I153="",$J153="",$H153=""),"",$O153*$I153*$J153*(1-$H153))</f>
        <v/>
      </c>
      <c r="Q153" s="14">
        <f>IF(OR($P153="",$M153=""),"",$P153*$M153)</f>
        <v/>
      </c>
      <c r="R153" s="11" t="n"/>
      <c r="S153" s="13" t="n"/>
      <c r="T153" s="14">
        <f>IF($Q153="","",$Q153+ROW()/1000000)</f>
        <v/>
      </c>
    </row>
    <row r="154">
      <c r="A154" s="11" t="n"/>
      <c r="B154" s="11" t="n"/>
      <c r="C154" s="11" t="n"/>
      <c r="D154" s="13" t="n"/>
      <c r="E154" s="11" t="n"/>
      <c r="F154" s="11" t="n"/>
      <c r="G154" s="11" t="n"/>
      <c r="H154" s="11" t="n"/>
      <c r="I154" s="11" t="n"/>
      <c r="J154" s="11" t="n"/>
      <c r="K154" s="11" t="n"/>
      <c r="L154" s="14">
        <f>IF($C154="","",IFERROR(VLOOKUP($C154,Setup!$A$17:$B$22,2,FALSE),1))</f>
        <v/>
      </c>
      <c r="M154" s="14">
        <f>IF($K154="",$L154,$K154)</f>
        <v/>
      </c>
      <c r="N154" s="14">
        <f>IF(OR($E154="",$F154=""),"",1-(1-$E154)^$F154)</f>
        <v/>
      </c>
      <c r="O154" s="14">
        <f>IF(OR($N154="",$G154=""),"",$N154*$G154)</f>
        <v/>
      </c>
      <c r="P154" s="14">
        <f>IF(OR($O154="",$I154="",$J154="",$H154=""),"",$O154*$I154*$J154*(1-$H154))</f>
        <v/>
      </c>
      <c r="Q154" s="14">
        <f>IF(OR($P154="",$M154=""),"",$P154*$M154)</f>
        <v/>
      </c>
      <c r="R154" s="11" t="n"/>
      <c r="S154" s="13" t="n"/>
      <c r="T154" s="14">
        <f>IF($Q154="","",$Q154+ROW()/1000000)</f>
        <v/>
      </c>
    </row>
    <row r="155">
      <c r="A155" s="11" t="n"/>
      <c r="B155" s="11" t="n"/>
      <c r="C155" s="11" t="n"/>
      <c r="D155" s="13" t="n"/>
      <c r="E155" s="11" t="n"/>
      <c r="F155" s="11" t="n"/>
      <c r="G155" s="11" t="n"/>
      <c r="H155" s="11" t="n"/>
      <c r="I155" s="11" t="n"/>
      <c r="J155" s="11" t="n"/>
      <c r="K155" s="11" t="n"/>
      <c r="L155" s="14">
        <f>IF($C155="","",IFERROR(VLOOKUP($C155,Setup!$A$17:$B$22,2,FALSE),1))</f>
        <v/>
      </c>
      <c r="M155" s="14">
        <f>IF($K155="",$L155,$K155)</f>
        <v/>
      </c>
      <c r="N155" s="14">
        <f>IF(OR($E155="",$F155=""),"",1-(1-$E155)^$F155)</f>
        <v/>
      </c>
      <c r="O155" s="14">
        <f>IF(OR($N155="",$G155=""),"",$N155*$G155)</f>
        <v/>
      </c>
      <c r="P155" s="14">
        <f>IF(OR($O155="",$I155="",$J155="",$H155=""),"",$O155*$I155*$J155*(1-$H155))</f>
        <v/>
      </c>
      <c r="Q155" s="14">
        <f>IF(OR($P155="",$M155=""),"",$P155*$M155)</f>
        <v/>
      </c>
      <c r="R155" s="11" t="n"/>
      <c r="S155" s="13" t="n"/>
      <c r="T155" s="14">
        <f>IF($Q155="","",$Q155+ROW()/1000000)</f>
        <v/>
      </c>
    </row>
    <row r="156">
      <c r="A156" s="11" t="n"/>
      <c r="B156" s="11" t="n"/>
      <c r="C156" s="11" t="n"/>
      <c r="D156" s="13" t="n"/>
      <c r="E156" s="11" t="n"/>
      <c r="F156" s="11" t="n"/>
      <c r="G156" s="11" t="n"/>
      <c r="H156" s="11" t="n"/>
      <c r="I156" s="11" t="n"/>
      <c r="J156" s="11" t="n"/>
      <c r="K156" s="11" t="n"/>
      <c r="L156" s="14">
        <f>IF($C156="","",IFERROR(VLOOKUP($C156,Setup!$A$17:$B$22,2,FALSE),1))</f>
        <v/>
      </c>
      <c r="M156" s="14">
        <f>IF($K156="",$L156,$K156)</f>
        <v/>
      </c>
      <c r="N156" s="14">
        <f>IF(OR($E156="",$F156=""),"",1-(1-$E156)^$F156)</f>
        <v/>
      </c>
      <c r="O156" s="14">
        <f>IF(OR($N156="",$G156=""),"",$N156*$G156)</f>
        <v/>
      </c>
      <c r="P156" s="14">
        <f>IF(OR($O156="",$I156="",$J156="",$H156=""),"",$O156*$I156*$J156*(1-$H156))</f>
        <v/>
      </c>
      <c r="Q156" s="14">
        <f>IF(OR($P156="",$M156=""),"",$P156*$M156)</f>
        <v/>
      </c>
      <c r="R156" s="11" t="n"/>
      <c r="S156" s="13" t="n"/>
      <c r="T156" s="14">
        <f>IF($Q156="","",$Q156+ROW()/1000000)</f>
        <v/>
      </c>
    </row>
    <row r="157">
      <c r="A157" s="11" t="n"/>
      <c r="B157" s="11" t="n"/>
      <c r="C157" s="11" t="n"/>
      <c r="D157" s="13" t="n"/>
      <c r="E157" s="11" t="n"/>
      <c r="F157" s="11" t="n"/>
      <c r="G157" s="11" t="n"/>
      <c r="H157" s="11" t="n"/>
      <c r="I157" s="11" t="n"/>
      <c r="J157" s="11" t="n"/>
      <c r="K157" s="11" t="n"/>
      <c r="L157" s="14">
        <f>IF($C157="","",IFERROR(VLOOKUP($C157,Setup!$A$17:$B$22,2,FALSE),1))</f>
        <v/>
      </c>
      <c r="M157" s="14">
        <f>IF($K157="",$L157,$K157)</f>
        <v/>
      </c>
      <c r="N157" s="14">
        <f>IF(OR($E157="",$F157=""),"",1-(1-$E157)^$F157)</f>
        <v/>
      </c>
      <c r="O157" s="14">
        <f>IF(OR($N157="",$G157=""),"",$N157*$G157)</f>
        <v/>
      </c>
      <c r="P157" s="14">
        <f>IF(OR($O157="",$I157="",$J157="",$H157=""),"",$O157*$I157*$J157*(1-$H157))</f>
        <v/>
      </c>
      <c r="Q157" s="14">
        <f>IF(OR($P157="",$M157=""),"",$P157*$M157)</f>
        <v/>
      </c>
      <c r="R157" s="11" t="n"/>
      <c r="S157" s="13" t="n"/>
      <c r="T157" s="14">
        <f>IF($Q157="","",$Q157+ROW()/1000000)</f>
        <v/>
      </c>
    </row>
    <row r="158">
      <c r="A158" s="11" t="n"/>
      <c r="B158" s="11" t="n"/>
      <c r="C158" s="11" t="n"/>
      <c r="D158" s="13" t="n"/>
      <c r="E158" s="11" t="n"/>
      <c r="F158" s="11" t="n"/>
      <c r="G158" s="11" t="n"/>
      <c r="H158" s="11" t="n"/>
      <c r="I158" s="11" t="n"/>
      <c r="J158" s="11" t="n"/>
      <c r="K158" s="11" t="n"/>
      <c r="L158" s="14">
        <f>IF($C158="","",IFERROR(VLOOKUP($C158,Setup!$A$17:$B$22,2,FALSE),1))</f>
        <v/>
      </c>
      <c r="M158" s="14">
        <f>IF($K158="",$L158,$K158)</f>
        <v/>
      </c>
      <c r="N158" s="14">
        <f>IF(OR($E158="",$F158=""),"",1-(1-$E158)^$F158)</f>
        <v/>
      </c>
      <c r="O158" s="14">
        <f>IF(OR($N158="",$G158=""),"",$N158*$G158)</f>
        <v/>
      </c>
      <c r="P158" s="14">
        <f>IF(OR($O158="",$I158="",$J158="",$H158=""),"",$O158*$I158*$J158*(1-$H158))</f>
        <v/>
      </c>
      <c r="Q158" s="14">
        <f>IF(OR($P158="",$M158=""),"",$P158*$M158)</f>
        <v/>
      </c>
      <c r="R158" s="11" t="n"/>
      <c r="S158" s="13" t="n"/>
      <c r="T158" s="14">
        <f>IF($Q158="","",$Q158+ROW()/1000000)</f>
        <v/>
      </c>
    </row>
    <row r="159">
      <c r="A159" s="11" t="n"/>
      <c r="B159" s="11" t="n"/>
      <c r="C159" s="11" t="n"/>
      <c r="D159" s="13" t="n"/>
      <c r="E159" s="11" t="n"/>
      <c r="F159" s="11" t="n"/>
      <c r="G159" s="11" t="n"/>
      <c r="H159" s="11" t="n"/>
      <c r="I159" s="11" t="n"/>
      <c r="J159" s="11" t="n"/>
      <c r="K159" s="11" t="n"/>
      <c r="L159" s="14">
        <f>IF($C159="","",IFERROR(VLOOKUP($C159,Setup!$A$17:$B$22,2,FALSE),1))</f>
        <v/>
      </c>
      <c r="M159" s="14">
        <f>IF($K159="",$L159,$K159)</f>
        <v/>
      </c>
      <c r="N159" s="14">
        <f>IF(OR($E159="",$F159=""),"",1-(1-$E159)^$F159)</f>
        <v/>
      </c>
      <c r="O159" s="14">
        <f>IF(OR($N159="",$G159=""),"",$N159*$G159)</f>
        <v/>
      </c>
      <c r="P159" s="14">
        <f>IF(OR($O159="",$I159="",$J159="",$H159=""),"",$O159*$I159*$J159*(1-$H159))</f>
        <v/>
      </c>
      <c r="Q159" s="14">
        <f>IF(OR($P159="",$M159=""),"",$P159*$M159)</f>
        <v/>
      </c>
      <c r="R159" s="11" t="n"/>
      <c r="S159" s="13" t="n"/>
      <c r="T159" s="14">
        <f>IF($Q159="","",$Q159+ROW()/1000000)</f>
        <v/>
      </c>
    </row>
    <row r="160">
      <c r="A160" s="11" t="n"/>
      <c r="B160" s="11" t="n"/>
      <c r="C160" s="11" t="n"/>
      <c r="D160" s="13" t="n"/>
      <c r="E160" s="11" t="n"/>
      <c r="F160" s="11" t="n"/>
      <c r="G160" s="11" t="n"/>
      <c r="H160" s="11" t="n"/>
      <c r="I160" s="11" t="n"/>
      <c r="J160" s="11" t="n"/>
      <c r="K160" s="11" t="n"/>
      <c r="L160" s="14">
        <f>IF($C160="","",IFERROR(VLOOKUP($C160,Setup!$A$17:$B$22,2,FALSE),1))</f>
        <v/>
      </c>
      <c r="M160" s="14">
        <f>IF($K160="",$L160,$K160)</f>
        <v/>
      </c>
      <c r="N160" s="14">
        <f>IF(OR($E160="",$F160=""),"",1-(1-$E160)^$F160)</f>
        <v/>
      </c>
      <c r="O160" s="14">
        <f>IF(OR($N160="",$G160=""),"",$N160*$G160)</f>
        <v/>
      </c>
      <c r="P160" s="14">
        <f>IF(OR($O160="",$I160="",$J160="",$H160=""),"",$O160*$I160*$J160*(1-$H160))</f>
        <v/>
      </c>
      <c r="Q160" s="14">
        <f>IF(OR($P160="",$M160=""),"",$P160*$M160)</f>
        <v/>
      </c>
      <c r="R160" s="11" t="n"/>
      <c r="S160" s="13" t="n"/>
      <c r="T160" s="14">
        <f>IF($Q160="","",$Q160+ROW()/1000000)</f>
        <v/>
      </c>
    </row>
    <row r="161">
      <c r="A161" s="11" t="n"/>
      <c r="B161" s="11" t="n"/>
      <c r="C161" s="11" t="n"/>
      <c r="D161" s="13" t="n"/>
      <c r="E161" s="11" t="n"/>
      <c r="F161" s="11" t="n"/>
      <c r="G161" s="11" t="n"/>
      <c r="H161" s="11" t="n"/>
      <c r="I161" s="11" t="n"/>
      <c r="J161" s="11" t="n"/>
      <c r="K161" s="11" t="n"/>
      <c r="L161" s="14">
        <f>IF($C161="","",IFERROR(VLOOKUP($C161,Setup!$A$17:$B$22,2,FALSE),1))</f>
        <v/>
      </c>
      <c r="M161" s="14">
        <f>IF($K161="",$L161,$K161)</f>
        <v/>
      </c>
      <c r="N161" s="14">
        <f>IF(OR($E161="",$F161=""),"",1-(1-$E161)^$F161)</f>
        <v/>
      </c>
      <c r="O161" s="14">
        <f>IF(OR($N161="",$G161=""),"",$N161*$G161)</f>
        <v/>
      </c>
      <c r="P161" s="14">
        <f>IF(OR($O161="",$I161="",$J161="",$H161=""),"",$O161*$I161*$J161*(1-$H161))</f>
        <v/>
      </c>
      <c r="Q161" s="14">
        <f>IF(OR($P161="",$M161=""),"",$P161*$M161)</f>
        <v/>
      </c>
      <c r="R161" s="11" t="n"/>
      <c r="S161" s="13" t="n"/>
      <c r="T161" s="14">
        <f>IF($Q161="","",$Q161+ROW()/1000000)</f>
        <v/>
      </c>
    </row>
    <row r="162">
      <c r="A162" s="11" t="n"/>
      <c r="B162" s="11" t="n"/>
      <c r="C162" s="11" t="n"/>
      <c r="D162" s="13" t="n"/>
      <c r="E162" s="11" t="n"/>
      <c r="F162" s="11" t="n"/>
      <c r="G162" s="11" t="n"/>
      <c r="H162" s="11" t="n"/>
      <c r="I162" s="11" t="n"/>
      <c r="J162" s="11" t="n"/>
      <c r="K162" s="11" t="n"/>
      <c r="L162" s="14">
        <f>IF($C162="","",IFERROR(VLOOKUP($C162,Setup!$A$17:$B$22,2,FALSE),1))</f>
        <v/>
      </c>
      <c r="M162" s="14">
        <f>IF($K162="",$L162,$K162)</f>
        <v/>
      </c>
      <c r="N162" s="14">
        <f>IF(OR($E162="",$F162=""),"",1-(1-$E162)^$F162)</f>
        <v/>
      </c>
      <c r="O162" s="14">
        <f>IF(OR($N162="",$G162=""),"",$N162*$G162)</f>
        <v/>
      </c>
      <c r="P162" s="14">
        <f>IF(OR($O162="",$I162="",$J162="",$H162=""),"",$O162*$I162*$J162*(1-$H162))</f>
        <v/>
      </c>
      <c r="Q162" s="14">
        <f>IF(OR($P162="",$M162=""),"",$P162*$M162)</f>
        <v/>
      </c>
      <c r="R162" s="11" t="n"/>
      <c r="S162" s="13" t="n"/>
      <c r="T162" s="14">
        <f>IF($Q162="","",$Q162+ROW()/1000000)</f>
        <v/>
      </c>
    </row>
    <row r="163">
      <c r="A163" s="11" t="n"/>
      <c r="B163" s="11" t="n"/>
      <c r="C163" s="11" t="n"/>
      <c r="D163" s="13" t="n"/>
      <c r="E163" s="11" t="n"/>
      <c r="F163" s="11" t="n"/>
      <c r="G163" s="11" t="n"/>
      <c r="H163" s="11" t="n"/>
      <c r="I163" s="11" t="n"/>
      <c r="J163" s="11" t="n"/>
      <c r="K163" s="11" t="n"/>
      <c r="L163" s="14">
        <f>IF($C163="","",IFERROR(VLOOKUP($C163,Setup!$A$17:$B$22,2,FALSE),1))</f>
        <v/>
      </c>
      <c r="M163" s="14">
        <f>IF($K163="",$L163,$K163)</f>
        <v/>
      </c>
      <c r="N163" s="14">
        <f>IF(OR($E163="",$F163=""),"",1-(1-$E163)^$F163)</f>
        <v/>
      </c>
      <c r="O163" s="14">
        <f>IF(OR($N163="",$G163=""),"",$N163*$G163)</f>
        <v/>
      </c>
      <c r="P163" s="14">
        <f>IF(OR($O163="",$I163="",$J163="",$H163=""),"",$O163*$I163*$J163*(1-$H163))</f>
        <v/>
      </c>
      <c r="Q163" s="14">
        <f>IF(OR($P163="",$M163=""),"",$P163*$M163)</f>
        <v/>
      </c>
      <c r="R163" s="11" t="n"/>
      <c r="S163" s="13" t="n"/>
      <c r="T163" s="14">
        <f>IF($Q163="","",$Q163+ROW()/1000000)</f>
        <v/>
      </c>
    </row>
    <row r="164">
      <c r="A164" s="11" t="n"/>
      <c r="B164" s="11" t="n"/>
      <c r="C164" s="11" t="n"/>
      <c r="D164" s="13" t="n"/>
      <c r="E164" s="11" t="n"/>
      <c r="F164" s="11" t="n"/>
      <c r="G164" s="11" t="n"/>
      <c r="H164" s="11" t="n"/>
      <c r="I164" s="11" t="n"/>
      <c r="J164" s="11" t="n"/>
      <c r="K164" s="11" t="n"/>
      <c r="L164" s="14">
        <f>IF($C164="","",IFERROR(VLOOKUP($C164,Setup!$A$17:$B$22,2,FALSE),1))</f>
        <v/>
      </c>
      <c r="M164" s="14">
        <f>IF($K164="",$L164,$K164)</f>
        <v/>
      </c>
      <c r="N164" s="14">
        <f>IF(OR($E164="",$F164=""),"",1-(1-$E164)^$F164)</f>
        <v/>
      </c>
      <c r="O164" s="14">
        <f>IF(OR($N164="",$G164=""),"",$N164*$G164)</f>
        <v/>
      </c>
      <c r="P164" s="14">
        <f>IF(OR($O164="",$I164="",$J164="",$H164=""),"",$O164*$I164*$J164*(1-$H164))</f>
        <v/>
      </c>
      <c r="Q164" s="14">
        <f>IF(OR($P164="",$M164=""),"",$P164*$M164)</f>
        <v/>
      </c>
      <c r="R164" s="11" t="n"/>
      <c r="S164" s="13" t="n"/>
      <c r="T164" s="14">
        <f>IF($Q164="","",$Q164+ROW()/1000000)</f>
        <v/>
      </c>
    </row>
    <row r="165">
      <c r="A165" s="11" t="n"/>
      <c r="B165" s="11" t="n"/>
      <c r="C165" s="11" t="n"/>
      <c r="D165" s="13" t="n"/>
      <c r="E165" s="11" t="n"/>
      <c r="F165" s="11" t="n"/>
      <c r="G165" s="11" t="n"/>
      <c r="H165" s="11" t="n"/>
      <c r="I165" s="11" t="n"/>
      <c r="J165" s="11" t="n"/>
      <c r="K165" s="11" t="n"/>
      <c r="L165" s="14">
        <f>IF($C165="","",IFERROR(VLOOKUP($C165,Setup!$A$17:$B$22,2,FALSE),1))</f>
        <v/>
      </c>
      <c r="M165" s="14">
        <f>IF($K165="",$L165,$K165)</f>
        <v/>
      </c>
      <c r="N165" s="14">
        <f>IF(OR($E165="",$F165=""),"",1-(1-$E165)^$F165)</f>
        <v/>
      </c>
      <c r="O165" s="14">
        <f>IF(OR($N165="",$G165=""),"",$N165*$G165)</f>
        <v/>
      </c>
      <c r="P165" s="14">
        <f>IF(OR($O165="",$I165="",$J165="",$H165=""),"",$O165*$I165*$J165*(1-$H165))</f>
        <v/>
      </c>
      <c r="Q165" s="14">
        <f>IF(OR($P165="",$M165=""),"",$P165*$M165)</f>
        <v/>
      </c>
      <c r="R165" s="11" t="n"/>
      <c r="S165" s="13" t="n"/>
      <c r="T165" s="14">
        <f>IF($Q165="","",$Q165+ROW()/1000000)</f>
        <v/>
      </c>
    </row>
    <row r="166">
      <c r="A166" s="11" t="n"/>
      <c r="B166" s="11" t="n"/>
      <c r="C166" s="11" t="n"/>
      <c r="D166" s="13" t="n"/>
      <c r="E166" s="11" t="n"/>
      <c r="F166" s="11" t="n"/>
      <c r="G166" s="11" t="n"/>
      <c r="H166" s="11" t="n"/>
      <c r="I166" s="11" t="n"/>
      <c r="J166" s="11" t="n"/>
      <c r="K166" s="11" t="n"/>
      <c r="L166" s="14">
        <f>IF($C166="","",IFERROR(VLOOKUP($C166,Setup!$A$17:$B$22,2,FALSE),1))</f>
        <v/>
      </c>
      <c r="M166" s="14">
        <f>IF($K166="",$L166,$K166)</f>
        <v/>
      </c>
      <c r="N166" s="14">
        <f>IF(OR($E166="",$F166=""),"",1-(1-$E166)^$F166)</f>
        <v/>
      </c>
      <c r="O166" s="14">
        <f>IF(OR($N166="",$G166=""),"",$N166*$G166)</f>
        <v/>
      </c>
      <c r="P166" s="14">
        <f>IF(OR($O166="",$I166="",$J166="",$H166=""),"",$O166*$I166*$J166*(1-$H166))</f>
        <v/>
      </c>
      <c r="Q166" s="14">
        <f>IF(OR($P166="",$M166=""),"",$P166*$M166)</f>
        <v/>
      </c>
      <c r="R166" s="11" t="n"/>
      <c r="S166" s="13" t="n"/>
      <c r="T166" s="14">
        <f>IF($Q166="","",$Q166+ROW()/1000000)</f>
        <v/>
      </c>
    </row>
    <row r="167">
      <c r="A167" s="11" t="n"/>
      <c r="B167" s="11" t="n"/>
      <c r="C167" s="11" t="n"/>
      <c r="D167" s="13" t="n"/>
      <c r="E167" s="11" t="n"/>
      <c r="F167" s="11" t="n"/>
      <c r="G167" s="11" t="n"/>
      <c r="H167" s="11" t="n"/>
      <c r="I167" s="11" t="n"/>
      <c r="J167" s="11" t="n"/>
      <c r="K167" s="11" t="n"/>
      <c r="L167" s="14">
        <f>IF($C167="","",IFERROR(VLOOKUP($C167,Setup!$A$17:$B$22,2,FALSE),1))</f>
        <v/>
      </c>
      <c r="M167" s="14">
        <f>IF($K167="",$L167,$K167)</f>
        <v/>
      </c>
      <c r="N167" s="14">
        <f>IF(OR($E167="",$F167=""),"",1-(1-$E167)^$F167)</f>
        <v/>
      </c>
      <c r="O167" s="14">
        <f>IF(OR($N167="",$G167=""),"",$N167*$G167)</f>
        <v/>
      </c>
      <c r="P167" s="14">
        <f>IF(OR($O167="",$I167="",$J167="",$H167=""),"",$O167*$I167*$J167*(1-$H167))</f>
        <v/>
      </c>
      <c r="Q167" s="14">
        <f>IF(OR($P167="",$M167=""),"",$P167*$M167)</f>
        <v/>
      </c>
      <c r="R167" s="11" t="n"/>
      <c r="S167" s="13" t="n"/>
      <c r="T167" s="14">
        <f>IF($Q167="","",$Q167+ROW()/1000000)</f>
        <v/>
      </c>
    </row>
    <row r="168">
      <c r="A168" s="11" t="n"/>
      <c r="B168" s="11" t="n"/>
      <c r="C168" s="11" t="n"/>
      <c r="D168" s="13" t="n"/>
      <c r="E168" s="11" t="n"/>
      <c r="F168" s="11" t="n"/>
      <c r="G168" s="11" t="n"/>
      <c r="H168" s="11" t="n"/>
      <c r="I168" s="11" t="n"/>
      <c r="J168" s="11" t="n"/>
      <c r="K168" s="11" t="n"/>
      <c r="L168" s="14">
        <f>IF($C168="","",IFERROR(VLOOKUP($C168,Setup!$A$17:$B$22,2,FALSE),1))</f>
        <v/>
      </c>
      <c r="M168" s="14">
        <f>IF($K168="",$L168,$K168)</f>
        <v/>
      </c>
      <c r="N168" s="14">
        <f>IF(OR($E168="",$F168=""),"",1-(1-$E168)^$F168)</f>
        <v/>
      </c>
      <c r="O168" s="14">
        <f>IF(OR($N168="",$G168=""),"",$N168*$G168)</f>
        <v/>
      </c>
      <c r="P168" s="14">
        <f>IF(OR($O168="",$I168="",$J168="",$H168=""),"",$O168*$I168*$J168*(1-$H168))</f>
        <v/>
      </c>
      <c r="Q168" s="14">
        <f>IF(OR($P168="",$M168=""),"",$P168*$M168)</f>
        <v/>
      </c>
      <c r="R168" s="11" t="n"/>
      <c r="S168" s="13" t="n"/>
      <c r="T168" s="14">
        <f>IF($Q168="","",$Q168+ROW()/1000000)</f>
        <v/>
      </c>
    </row>
    <row r="169">
      <c r="A169" s="11" t="n"/>
      <c r="B169" s="11" t="n"/>
      <c r="C169" s="11" t="n"/>
      <c r="D169" s="13" t="n"/>
      <c r="E169" s="11" t="n"/>
      <c r="F169" s="11" t="n"/>
      <c r="G169" s="11" t="n"/>
      <c r="H169" s="11" t="n"/>
      <c r="I169" s="11" t="n"/>
      <c r="J169" s="11" t="n"/>
      <c r="K169" s="11" t="n"/>
      <c r="L169" s="14">
        <f>IF($C169="","",IFERROR(VLOOKUP($C169,Setup!$A$17:$B$22,2,FALSE),1))</f>
        <v/>
      </c>
      <c r="M169" s="14">
        <f>IF($K169="",$L169,$K169)</f>
        <v/>
      </c>
      <c r="N169" s="14">
        <f>IF(OR($E169="",$F169=""),"",1-(1-$E169)^$F169)</f>
        <v/>
      </c>
      <c r="O169" s="14">
        <f>IF(OR($N169="",$G169=""),"",$N169*$G169)</f>
        <v/>
      </c>
      <c r="P169" s="14">
        <f>IF(OR($O169="",$I169="",$J169="",$H169=""),"",$O169*$I169*$J169*(1-$H169))</f>
        <v/>
      </c>
      <c r="Q169" s="14">
        <f>IF(OR($P169="",$M169=""),"",$P169*$M169)</f>
        <v/>
      </c>
      <c r="R169" s="11" t="n"/>
      <c r="S169" s="13" t="n"/>
      <c r="T169" s="14">
        <f>IF($Q169="","",$Q169+ROW()/1000000)</f>
        <v/>
      </c>
    </row>
    <row r="170">
      <c r="A170" s="11" t="n"/>
      <c r="B170" s="11" t="n"/>
      <c r="C170" s="11" t="n"/>
      <c r="D170" s="13" t="n"/>
      <c r="E170" s="11" t="n"/>
      <c r="F170" s="11" t="n"/>
      <c r="G170" s="11" t="n"/>
      <c r="H170" s="11" t="n"/>
      <c r="I170" s="11" t="n"/>
      <c r="J170" s="11" t="n"/>
      <c r="K170" s="11" t="n"/>
      <c r="L170" s="14">
        <f>IF($C170="","",IFERROR(VLOOKUP($C170,Setup!$A$17:$B$22,2,FALSE),1))</f>
        <v/>
      </c>
      <c r="M170" s="14">
        <f>IF($K170="",$L170,$K170)</f>
        <v/>
      </c>
      <c r="N170" s="14">
        <f>IF(OR($E170="",$F170=""),"",1-(1-$E170)^$F170)</f>
        <v/>
      </c>
      <c r="O170" s="14">
        <f>IF(OR($N170="",$G170=""),"",$N170*$G170)</f>
        <v/>
      </c>
      <c r="P170" s="14">
        <f>IF(OR($O170="",$I170="",$J170="",$H170=""),"",$O170*$I170*$J170*(1-$H170))</f>
        <v/>
      </c>
      <c r="Q170" s="14">
        <f>IF(OR($P170="",$M170=""),"",$P170*$M170)</f>
        <v/>
      </c>
      <c r="R170" s="11" t="n"/>
      <c r="S170" s="13" t="n"/>
      <c r="T170" s="14">
        <f>IF($Q170="","",$Q170+ROW()/1000000)</f>
        <v/>
      </c>
    </row>
    <row r="171">
      <c r="A171" s="11" t="n"/>
      <c r="B171" s="11" t="n"/>
      <c r="C171" s="11" t="n"/>
      <c r="D171" s="13" t="n"/>
      <c r="E171" s="11" t="n"/>
      <c r="F171" s="11" t="n"/>
      <c r="G171" s="11" t="n"/>
      <c r="H171" s="11" t="n"/>
      <c r="I171" s="11" t="n"/>
      <c r="J171" s="11" t="n"/>
      <c r="K171" s="11" t="n"/>
      <c r="L171" s="14">
        <f>IF($C171="","",IFERROR(VLOOKUP($C171,Setup!$A$17:$B$22,2,FALSE),1))</f>
        <v/>
      </c>
      <c r="M171" s="14">
        <f>IF($K171="",$L171,$K171)</f>
        <v/>
      </c>
      <c r="N171" s="14">
        <f>IF(OR($E171="",$F171=""),"",1-(1-$E171)^$F171)</f>
        <v/>
      </c>
      <c r="O171" s="14">
        <f>IF(OR($N171="",$G171=""),"",$N171*$G171)</f>
        <v/>
      </c>
      <c r="P171" s="14">
        <f>IF(OR($O171="",$I171="",$J171="",$H171=""),"",$O171*$I171*$J171*(1-$H171))</f>
        <v/>
      </c>
      <c r="Q171" s="14">
        <f>IF(OR($P171="",$M171=""),"",$P171*$M171)</f>
        <v/>
      </c>
      <c r="R171" s="11" t="n"/>
      <c r="S171" s="13" t="n"/>
      <c r="T171" s="14">
        <f>IF($Q171="","",$Q171+ROW()/1000000)</f>
        <v/>
      </c>
    </row>
    <row r="172">
      <c r="A172" s="11" t="n"/>
      <c r="B172" s="11" t="n"/>
      <c r="C172" s="11" t="n"/>
      <c r="D172" s="13" t="n"/>
      <c r="E172" s="11" t="n"/>
      <c r="F172" s="11" t="n"/>
      <c r="G172" s="11" t="n"/>
      <c r="H172" s="11" t="n"/>
      <c r="I172" s="11" t="n"/>
      <c r="J172" s="11" t="n"/>
      <c r="K172" s="11" t="n"/>
      <c r="L172" s="14">
        <f>IF($C172="","",IFERROR(VLOOKUP($C172,Setup!$A$17:$B$22,2,FALSE),1))</f>
        <v/>
      </c>
      <c r="M172" s="14">
        <f>IF($K172="",$L172,$K172)</f>
        <v/>
      </c>
      <c r="N172" s="14">
        <f>IF(OR($E172="",$F172=""),"",1-(1-$E172)^$F172)</f>
        <v/>
      </c>
      <c r="O172" s="14">
        <f>IF(OR($N172="",$G172=""),"",$N172*$G172)</f>
        <v/>
      </c>
      <c r="P172" s="14">
        <f>IF(OR($O172="",$I172="",$J172="",$H172=""),"",$O172*$I172*$J172*(1-$H172))</f>
        <v/>
      </c>
      <c r="Q172" s="14">
        <f>IF(OR($P172="",$M172=""),"",$P172*$M172)</f>
        <v/>
      </c>
      <c r="R172" s="11" t="n"/>
      <c r="S172" s="13" t="n"/>
      <c r="T172" s="14">
        <f>IF($Q172="","",$Q172+ROW()/1000000)</f>
        <v/>
      </c>
    </row>
    <row r="173">
      <c r="A173" s="11" t="n"/>
      <c r="B173" s="11" t="n"/>
      <c r="C173" s="11" t="n"/>
      <c r="D173" s="13" t="n"/>
      <c r="E173" s="11" t="n"/>
      <c r="F173" s="11" t="n"/>
      <c r="G173" s="11" t="n"/>
      <c r="H173" s="11" t="n"/>
      <c r="I173" s="11" t="n"/>
      <c r="J173" s="11" t="n"/>
      <c r="K173" s="11" t="n"/>
      <c r="L173" s="14">
        <f>IF($C173="","",IFERROR(VLOOKUP($C173,Setup!$A$17:$B$22,2,FALSE),1))</f>
        <v/>
      </c>
      <c r="M173" s="14">
        <f>IF($K173="",$L173,$K173)</f>
        <v/>
      </c>
      <c r="N173" s="14">
        <f>IF(OR($E173="",$F173=""),"",1-(1-$E173)^$F173)</f>
        <v/>
      </c>
      <c r="O173" s="14">
        <f>IF(OR($N173="",$G173=""),"",$N173*$G173)</f>
        <v/>
      </c>
      <c r="P173" s="14">
        <f>IF(OR($O173="",$I173="",$J173="",$H173=""),"",$O173*$I173*$J173*(1-$H173))</f>
        <v/>
      </c>
      <c r="Q173" s="14">
        <f>IF(OR($P173="",$M173=""),"",$P173*$M173)</f>
        <v/>
      </c>
      <c r="R173" s="11" t="n"/>
      <c r="S173" s="13" t="n"/>
      <c r="T173" s="14">
        <f>IF($Q173="","",$Q173+ROW()/1000000)</f>
        <v/>
      </c>
    </row>
    <row r="174">
      <c r="A174" s="11" t="n"/>
      <c r="B174" s="11" t="n"/>
      <c r="C174" s="11" t="n"/>
      <c r="D174" s="13" t="n"/>
      <c r="E174" s="11" t="n"/>
      <c r="F174" s="11" t="n"/>
      <c r="G174" s="11" t="n"/>
      <c r="H174" s="11" t="n"/>
      <c r="I174" s="11" t="n"/>
      <c r="J174" s="11" t="n"/>
      <c r="K174" s="11" t="n"/>
      <c r="L174" s="14">
        <f>IF($C174="","",IFERROR(VLOOKUP($C174,Setup!$A$17:$B$22,2,FALSE),1))</f>
        <v/>
      </c>
      <c r="M174" s="14">
        <f>IF($K174="",$L174,$K174)</f>
        <v/>
      </c>
      <c r="N174" s="14">
        <f>IF(OR($E174="",$F174=""),"",1-(1-$E174)^$F174)</f>
        <v/>
      </c>
      <c r="O174" s="14">
        <f>IF(OR($N174="",$G174=""),"",$N174*$G174)</f>
        <v/>
      </c>
      <c r="P174" s="14">
        <f>IF(OR($O174="",$I174="",$J174="",$H174=""),"",$O174*$I174*$J174*(1-$H174))</f>
        <v/>
      </c>
      <c r="Q174" s="14">
        <f>IF(OR($P174="",$M174=""),"",$P174*$M174)</f>
        <v/>
      </c>
      <c r="R174" s="11" t="n"/>
      <c r="S174" s="13" t="n"/>
      <c r="T174" s="14">
        <f>IF($Q174="","",$Q174+ROW()/1000000)</f>
        <v/>
      </c>
    </row>
    <row r="175">
      <c r="A175" s="11" t="n"/>
      <c r="B175" s="11" t="n"/>
      <c r="C175" s="11" t="n"/>
      <c r="D175" s="13" t="n"/>
      <c r="E175" s="11" t="n"/>
      <c r="F175" s="11" t="n"/>
      <c r="G175" s="11" t="n"/>
      <c r="H175" s="11" t="n"/>
      <c r="I175" s="11" t="n"/>
      <c r="J175" s="11" t="n"/>
      <c r="K175" s="11" t="n"/>
      <c r="L175" s="14">
        <f>IF($C175="","",IFERROR(VLOOKUP($C175,Setup!$A$17:$B$22,2,FALSE),1))</f>
        <v/>
      </c>
      <c r="M175" s="14">
        <f>IF($K175="",$L175,$K175)</f>
        <v/>
      </c>
      <c r="N175" s="14">
        <f>IF(OR($E175="",$F175=""),"",1-(1-$E175)^$F175)</f>
        <v/>
      </c>
      <c r="O175" s="14">
        <f>IF(OR($N175="",$G175=""),"",$N175*$G175)</f>
        <v/>
      </c>
      <c r="P175" s="14">
        <f>IF(OR($O175="",$I175="",$J175="",$H175=""),"",$O175*$I175*$J175*(1-$H175))</f>
        <v/>
      </c>
      <c r="Q175" s="14">
        <f>IF(OR($P175="",$M175=""),"",$P175*$M175)</f>
        <v/>
      </c>
      <c r="R175" s="11" t="n"/>
      <c r="S175" s="13" t="n"/>
      <c r="T175" s="14">
        <f>IF($Q175="","",$Q175+ROW()/1000000)</f>
        <v/>
      </c>
    </row>
    <row r="176">
      <c r="A176" s="11" t="n"/>
      <c r="B176" s="11" t="n"/>
      <c r="C176" s="11" t="n"/>
      <c r="D176" s="13" t="n"/>
      <c r="E176" s="11" t="n"/>
      <c r="F176" s="11" t="n"/>
      <c r="G176" s="11" t="n"/>
      <c r="H176" s="11" t="n"/>
      <c r="I176" s="11" t="n"/>
      <c r="J176" s="11" t="n"/>
      <c r="K176" s="11" t="n"/>
      <c r="L176" s="14">
        <f>IF($C176="","",IFERROR(VLOOKUP($C176,Setup!$A$17:$B$22,2,FALSE),1))</f>
        <v/>
      </c>
      <c r="M176" s="14">
        <f>IF($K176="",$L176,$K176)</f>
        <v/>
      </c>
      <c r="N176" s="14">
        <f>IF(OR($E176="",$F176=""),"",1-(1-$E176)^$F176)</f>
        <v/>
      </c>
      <c r="O176" s="14">
        <f>IF(OR($N176="",$G176=""),"",$N176*$G176)</f>
        <v/>
      </c>
      <c r="P176" s="14">
        <f>IF(OR($O176="",$I176="",$J176="",$H176=""),"",$O176*$I176*$J176*(1-$H176))</f>
        <v/>
      </c>
      <c r="Q176" s="14">
        <f>IF(OR($P176="",$M176=""),"",$P176*$M176)</f>
        <v/>
      </c>
      <c r="R176" s="11" t="n"/>
      <c r="S176" s="13" t="n"/>
      <c r="T176" s="14">
        <f>IF($Q176="","",$Q176+ROW()/1000000)</f>
        <v/>
      </c>
    </row>
    <row r="177">
      <c r="A177" s="11" t="n"/>
      <c r="B177" s="11" t="n"/>
      <c r="C177" s="11" t="n"/>
      <c r="D177" s="13" t="n"/>
      <c r="E177" s="11" t="n"/>
      <c r="F177" s="11" t="n"/>
      <c r="G177" s="11" t="n"/>
      <c r="H177" s="11" t="n"/>
      <c r="I177" s="11" t="n"/>
      <c r="J177" s="11" t="n"/>
      <c r="K177" s="11" t="n"/>
      <c r="L177" s="14">
        <f>IF($C177="","",IFERROR(VLOOKUP($C177,Setup!$A$17:$B$22,2,FALSE),1))</f>
        <v/>
      </c>
      <c r="M177" s="14">
        <f>IF($K177="",$L177,$K177)</f>
        <v/>
      </c>
      <c r="N177" s="14">
        <f>IF(OR($E177="",$F177=""),"",1-(1-$E177)^$F177)</f>
        <v/>
      </c>
      <c r="O177" s="14">
        <f>IF(OR($N177="",$G177=""),"",$N177*$G177)</f>
        <v/>
      </c>
      <c r="P177" s="14">
        <f>IF(OR($O177="",$I177="",$J177="",$H177=""),"",$O177*$I177*$J177*(1-$H177))</f>
        <v/>
      </c>
      <c r="Q177" s="14">
        <f>IF(OR($P177="",$M177=""),"",$P177*$M177)</f>
        <v/>
      </c>
      <c r="R177" s="11" t="n"/>
      <c r="S177" s="13" t="n"/>
      <c r="T177" s="14">
        <f>IF($Q177="","",$Q177+ROW()/1000000)</f>
        <v/>
      </c>
    </row>
    <row r="178">
      <c r="A178" s="11" t="n"/>
      <c r="B178" s="11" t="n"/>
      <c r="C178" s="11" t="n"/>
      <c r="D178" s="13" t="n"/>
      <c r="E178" s="11" t="n"/>
      <c r="F178" s="11" t="n"/>
      <c r="G178" s="11" t="n"/>
      <c r="H178" s="11" t="n"/>
      <c r="I178" s="11" t="n"/>
      <c r="J178" s="11" t="n"/>
      <c r="K178" s="11" t="n"/>
      <c r="L178" s="14">
        <f>IF($C178="","",IFERROR(VLOOKUP($C178,Setup!$A$17:$B$22,2,FALSE),1))</f>
        <v/>
      </c>
      <c r="M178" s="14">
        <f>IF($K178="",$L178,$K178)</f>
        <v/>
      </c>
      <c r="N178" s="14">
        <f>IF(OR($E178="",$F178=""),"",1-(1-$E178)^$F178)</f>
        <v/>
      </c>
      <c r="O178" s="14">
        <f>IF(OR($N178="",$G178=""),"",$N178*$G178)</f>
        <v/>
      </c>
      <c r="P178" s="14">
        <f>IF(OR($O178="",$I178="",$J178="",$H178=""),"",$O178*$I178*$J178*(1-$H178))</f>
        <v/>
      </c>
      <c r="Q178" s="14">
        <f>IF(OR($P178="",$M178=""),"",$P178*$M178)</f>
        <v/>
      </c>
      <c r="R178" s="11" t="n"/>
      <c r="S178" s="13" t="n"/>
      <c r="T178" s="14">
        <f>IF($Q178="","",$Q178+ROW()/1000000)</f>
        <v/>
      </c>
    </row>
    <row r="179">
      <c r="A179" s="11" t="n"/>
      <c r="B179" s="11" t="n"/>
      <c r="C179" s="11" t="n"/>
      <c r="D179" s="13" t="n"/>
      <c r="E179" s="11" t="n"/>
      <c r="F179" s="11" t="n"/>
      <c r="G179" s="11" t="n"/>
      <c r="H179" s="11" t="n"/>
      <c r="I179" s="11" t="n"/>
      <c r="J179" s="11" t="n"/>
      <c r="K179" s="11" t="n"/>
      <c r="L179" s="14">
        <f>IF($C179="","",IFERROR(VLOOKUP($C179,Setup!$A$17:$B$22,2,FALSE),1))</f>
        <v/>
      </c>
      <c r="M179" s="14">
        <f>IF($K179="",$L179,$K179)</f>
        <v/>
      </c>
      <c r="N179" s="14">
        <f>IF(OR($E179="",$F179=""),"",1-(1-$E179)^$F179)</f>
        <v/>
      </c>
      <c r="O179" s="14">
        <f>IF(OR($N179="",$G179=""),"",$N179*$G179)</f>
        <v/>
      </c>
      <c r="P179" s="14">
        <f>IF(OR($O179="",$I179="",$J179="",$H179=""),"",$O179*$I179*$J179*(1-$H179))</f>
        <v/>
      </c>
      <c r="Q179" s="14">
        <f>IF(OR($P179="",$M179=""),"",$P179*$M179)</f>
        <v/>
      </c>
      <c r="R179" s="11" t="n"/>
      <c r="S179" s="13" t="n"/>
      <c r="T179" s="14">
        <f>IF($Q179="","",$Q179+ROW()/1000000)</f>
        <v/>
      </c>
    </row>
    <row r="180">
      <c r="A180" s="11" t="n"/>
      <c r="B180" s="11" t="n"/>
      <c r="C180" s="11" t="n"/>
      <c r="D180" s="13" t="n"/>
      <c r="E180" s="11" t="n"/>
      <c r="F180" s="11" t="n"/>
      <c r="G180" s="11" t="n"/>
      <c r="H180" s="11" t="n"/>
      <c r="I180" s="11" t="n"/>
      <c r="J180" s="11" t="n"/>
      <c r="K180" s="11" t="n"/>
      <c r="L180" s="14">
        <f>IF($C180="","",IFERROR(VLOOKUP($C180,Setup!$A$17:$B$22,2,FALSE),1))</f>
        <v/>
      </c>
      <c r="M180" s="14">
        <f>IF($K180="",$L180,$K180)</f>
        <v/>
      </c>
      <c r="N180" s="14">
        <f>IF(OR($E180="",$F180=""),"",1-(1-$E180)^$F180)</f>
        <v/>
      </c>
      <c r="O180" s="14">
        <f>IF(OR($N180="",$G180=""),"",$N180*$G180)</f>
        <v/>
      </c>
      <c r="P180" s="14">
        <f>IF(OR($O180="",$I180="",$J180="",$H180=""),"",$O180*$I180*$J180*(1-$H180))</f>
        <v/>
      </c>
      <c r="Q180" s="14">
        <f>IF(OR($P180="",$M180=""),"",$P180*$M180)</f>
        <v/>
      </c>
      <c r="R180" s="11" t="n"/>
      <c r="S180" s="13" t="n"/>
      <c r="T180" s="14">
        <f>IF($Q180="","",$Q180+ROW()/1000000)</f>
        <v/>
      </c>
    </row>
    <row r="181">
      <c r="A181" s="11" t="n"/>
      <c r="B181" s="11" t="n"/>
      <c r="C181" s="11" t="n"/>
      <c r="D181" s="13" t="n"/>
      <c r="E181" s="11" t="n"/>
      <c r="F181" s="11" t="n"/>
      <c r="G181" s="11" t="n"/>
      <c r="H181" s="11" t="n"/>
      <c r="I181" s="11" t="n"/>
      <c r="J181" s="11" t="n"/>
      <c r="K181" s="11" t="n"/>
      <c r="L181" s="14">
        <f>IF($C181="","",IFERROR(VLOOKUP($C181,Setup!$A$17:$B$22,2,FALSE),1))</f>
        <v/>
      </c>
      <c r="M181" s="14">
        <f>IF($K181="",$L181,$K181)</f>
        <v/>
      </c>
      <c r="N181" s="14">
        <f>IF(OR($E181="",$F181=""),"",1-(1-$E181)^$F181)</f>
        <v/>
      </c>
      <c r="O181" s="14">
        <f>IF(OR($N181="",$G181=""),"",$N181*$G181)</f>
        <v/>
      </c>
      <c r="P181" s="14">
        <f>IF(OR($O181="",$I181="",$J181="",$H181=""),"",$O181*$I181*$J181*(1-$H181))</f>
        <v/>
      </c>
      <c r="Q181" s="14">
        <f>IF(OR($P181="",$M181=""),"",$P181*$M181)</f>
        <v/>
      </c>
      <c r="R181" s="11" t="n"/>
      <c r="S181" s="13" t="n"/>
      <c r="T181" s="14">
        <f>IF($Q181="","",$Q181+ROW()/1000000)</f>
        <v/>
      </c>
    </row>
    <row r="182">
      <c r="A182" s="11" t="n"/>
      <c r="B182" s="11" t="n"/>
      <c r="C182" s="11" t="n"/>
      <c r="D182" s="13" t="n"/>
      <c r="E182" s="11" t="n"/>
      <c r="F182" s="11" t="n"/>
      <c r="G182" s="11" t="n"/>
      <c r="H182" s="11" t="n"/>
      <c r="I182" s="11" t="n"/>
      <c r="J182" s="11" t="n"/>
      <c r="K182" s="11" t="n"/>
      <c r="L182" s="14">
        <f>IF($C182="","",IFERROR(VLOOKUP($C182,Setup!$A$17:$B$22,2,FALSE),1))</f>
        <v/>
      </c>
      <c r="M182" s="14">
        <f>IF($K182="",$L182,$K182)</f>
        <v/>
      </c>
      <c r="N182" s="14">
        <f>IF(OR($E182="",$F182=""),"",1-(1-$E182)^$F182)</f>
        <v/>
      </c>
      <c r="O182" s="14">
        <f>IF(OR($N182="",$G182=""),"",$N182*$G182)</f>
        <v/>
      </c>
      <c r="P182" s="14">
        <f>IF(OR($O182="",$I182="",$J182="",$H182=""),"",$O182*$I182*$J182*(1-$H182))</f>
        <v/>
      </c>
      <c r="Q182" s="14">
        <f>IF(OR($P182="",$M182=""),"",$P182*$M182)</f>
        <v/>
      </c>
      <c r="R182" s="11" t="n"/>
      <c r="S182" s="13" t="n"/>
      <c r="T182" s="14">
        <f>IF($Q182="","",$Q182+ROW()/1000000)</f>
        <v/>
      </c>
    </row>
    <row r="183">
      <c r="A183" s="11" t="n"/>
      <c r="B183" s="11" t="n"/>
      <c r="C183" s="11" t="n"/>
      <c r="D183" s="13" t="n"/>
      <c r="E183" s="11" t="n"/>
      <c r="F183" s="11" t="n"/>
      <c r="G183" s="11" t="n"/>
      <c r="H183" s="11" t="n"/>
      <c r="I183" s="11" t="n"/>
      <c r="J183" s="11" t="n"/>
      <c r="K183" s="11" t="n"/>
      <c r="L183" s="14">
        <f>IF($C183="","",IFERROR(VLOOKUP($C183,Setup!$A$17:$B$22,2,FALSE),1))</f>
        <v/>
      </c>
      <c r="M183" s="14">
        <f>IF($K183="",$L183,$K183)</f>
        <v/>
      </c>
      <c r="N183" s="14">
        <f>IF(OR($E183="",$F183=""),"",1-(1-$E183)^$F183)</f>
        <v/>
      </c>
      <c r="O183" s="14">
        <f>IF(OR($N183="",$G183=""),"",$N183*$G183)</f>
        <v/>
      </c>
      <c r="P183" s="14">
        <f>IF(OR($O183="",$I183="",$J183="",$H183=""),"",$O183*$I183*$J183*(1-$H183))</f>
        <v/>
      </c>
      <c r="Q183" s="14">
        <f>IF(OR($P183="",$M183=""),"",$P183*$M183)</f>
        <v/>
      </c>
      <c r="R183" s="11" t="n"/>
      <c r="S183" s="13" t="n"/>
      <c r="T183" s="14">
        <f>IF($Q183="","",$Q183+ROW()/1000000)</f>
        <v/>
      </c>
    </row>
    <row r="184">
      <c r="A184" s="11" t="n"/>
      <c r="B184" s="11" t="n"/>
      <c r="C184" s="11" t="n"/>
      <c r="D184" s="13" t="n"/>
      <c r="E184" s="11" t="n"/>
      <c r="F184" s="11" t="n"/>
      <c r="G184" s="11" t="n"/>
      <c r="H184" s="11" t="n"/>
      <c r="I184" s="11" t="n"/>
      <c r="J184" s="11" t="n"/>
      <c r="K184" s="11" t="n"/>
      <c r="L184" s="14">
        <f>IF($C184="","",IFERROR(VLOOKUP($C184,Setup!$A$17:$B$22,2,FALSE),1))</f>
        <v/>
      </c>
      <c r="M184" s="14">
        <f>IF($K184="",$L184,$K184)</f>
        <v/>
      </c>
      <c r="N184" s="14">
        <f>IF(OR($E184="",$F184=""),"",1-(1-$E184)^$F184)</f>
        <v/>
      </c>
      <c r="O184" s="14">
        <f>IF(OR($N184="",$G184=""),"",$N184*$G184)</f>
        <v/>
      </c>
      <c r="P184" s="14">
        <f>IF(OR($O184="",$I184="",$J184="",$H184=""),"",$O184*$I184*$J184*(1-$H184))</f>
        <v/>
      </c>
      <c r="Q184" s="14">
        <f>IF(OR($P184="",$M184=""),"",$P184*$M184)</f>
        <v/>
      </c>
      <c r="R184" s="11" t="n"/>
      <c r="S184" s="13" t="n"/>
      <c r="T184" s="14">
        <f>IF($Q184="","",$Q184+ROW()/1000000)</f>
        <v/>
      </c>
    </row>
    <row r="185">
      <c r="A185" s="11" t="n"/>
      <c r="B185" s="11" t="n"/>
      <c r="C185" s="11" t="n"/>
      <c r="D185" s="13" t="n"/>
      <c r="E185" s="11" t="n"/>
      <c r="F185" s="11" t="n"/>
      <c r="G185" s="11" t="n"/>
      <c r="H185" s="11" t="n"/>
      <c r="I185" s="11" t="n"/>
      <c r="J185" s="11" t="n"/>
      <c r="K185" s="11" t="n"/>
      <c r="L185" s="14">
        <f>IF($C185="","",IFERROR(VLOOKUP($C185,Setup!$A$17:$B$22,2,FALSE),1))</f>
        <v/>
      </c>
      <c r="M185" s="14">
        <f>IF($K185="",$L185,$K185)</f>
        <v/>
      </c>
      <c r="N185" s="14">
        <f>IF(OR($E185="",$F185=""),"",1-(1-$E185)^$F185)</f>
        <v/>
      </c>
      <c r="O185" s="14">
        <f>IF(OR($N185="",$G185=""),"",$N185*$G185)</f>
        <v/>
      </c>
      <c r="P185" s="14">
        <f>IF(OR($O185="",$I185="",$J185="",$H185=""),"",$O185*$I185*$J185*(1-$H185))</f>
        <v/>
      </c>
      <c r="Q185" s="14">
        <f>IF(OR($P185="",$M185=""),"",$P185*$M185)</f>
        <v/>
      </c>
      <c r="R185" s="11" t="n"/>
      <c r="S185" s="13" t="n"/>
      <c r="T185" s="14">
        <f>IF($Q185="","",$Q185+ROW()/1000000)</f>
        <v/>
      </c>
    </row>
    <row r="186">
      <c r="A186" s="11" t="n"/>
      <c r="B186" s="11" t="n"/>
      <c r="C186" s="11" t="n"/>
      <c r="D186" s="13" t="n"/>
      <c r="E186" s="11" t="n"/>
      <c r="F186" s="11" t="n"/>
      <c r="G186" s="11" t="n"/>
      <c r="H186" s="11" t="n"/>
      <c r="I186" s="11" t="n"/>
      <c r="J186" s="11" t="n"/>
      <c r="K186" s="11" t="n"/>
      <c r="L186" s="14">
        <f>IF($C186="","",IFERROR(VLOOKUP($C186,Setup!$A$17:$B$22,2,FALSE),1))</f>
        <v/>
      </c>
      <c r="M186" s="14">
        <f>IF($K186="",$L186,$K186)</f>
        <v/>
      </c>
      <c r="N186" s="14">
        <f>IF(OR($E186="",$F186=""),"",1-(1-$E186)^$F186)</f>
        <v/>
      </c>
      <c r="O186" s="14">
        <f>IF(OR($N186="",$G186=""),"",$N186*$G186)</f>
        <v/>
      </c>
      <c r="P186" s="14">
        <f>IF(OR($O186="",$I186="",$J186="",$H186=""),"",$O186*$I186*$J186*(1-$H186))</f>
        <v/>
      </c>
      <c r="Q186" s="14">
        <f>IF(OR($P186="",$M186=""),"",$P186*$M186)</f>
        <v/>
      </c>
      <c r="R186" s="11" t="n"/>
      <c r="S186" s="13" t="n"/>
      <c r="T186" s="14">
        <f>IF($Q186="","",$Q186+ROW()/1000000)</f>
        <v/>
      </c>
    </row>
    <row r="187">
      <c r="A187" s="11" t="n"/>
      <c r="B187" s="11" t="n"/>
      <c r="C187" s="11" t="n"/>
      <c r="D187" s="13" t="n"/>
      <c r="E187" s="11" t="n"/>
      <c r="F187" s="11" t="n"/>
      <c r="G187" s="11" t="n"/>
      <c r="H187" s="11" t="n"/>
      <c r="I187" s="11" t="n"/>
      <c r="J187" s="11" t="n"/>
      <c r="K187" s="11" t="n"/>
      <c r="L187" s="14">
        <f>IF($C187="","",IFERROR(VLOOKUP($C187,Setup!$A$17:$B$22,2,FALSE),1))</f>
        <v/>
      </c>
      <c r="M187" s="14">
        <f>IF($K187="",$L187,$K187)</f>
        <v/>
      </c>
      <c r="N187" s="14">
        <f>IF(OR($E187="",$F187=""),"",1-(1-$E187)^$F187)</f>
        <v/>
      </c>
      <c r="O187" s="14">
        <f>IF(OR($N187="",$G187=""),"",$N187*$G187)</f>
        <v/>
      </c>
      <c r="P187" s="14">
        <f>IF(OR($O187="",$I187="",$J187="",$H187=""),"",$O187*$I187*$J187*(1-$H187))</f>
        <v/>
      </c>
      <c r="Q187" s="14">
        <f>IF(OR($P187="",$M187=""),"",$P187*$M187)</f>
        <v/>
      </c>
      <c r="R187" s="11" t="n"/>
      <c r="S187" s="13" t="n"/>
      <c r="T187" s="14">
        <f>IF($Q187="","",$Q187+ROW()/1000000)</f>
        <v/>
      </c>
    </row>
    <row r="188">
      <c r="A188" s="11" t="n"/>
      <c r="B188" s="11" t="n"/>
      <c r="C188" s="11" t="n"/>
      <c r="D188" s="13" t="n"/>
      <c r="E188" s="11" t="n"/>
      <c r="F188" s="11" t="n"/>
      <c r="G188" s="11" t="n"/>
      <c r="H188" s="11" t="n"/>
      <c r="I188" s="11" t="n"/>
      <c r="J188" s="11" t="n"/>
      <c r="K188" s="11" t="n"/>
      <c r="L188" s="14">
        <f>IF($C188="","",IFERROR(VLOOKUP($C188,Setup!$A$17:$B$22,2,FALSE),1))</f>
        <v/>
      </c>
      <c r="M188" s="14">
        <f>IF($K188="",$L188,$K188)</f>
        <v/>
      </c>
      <c r="N188" s="14">
        <f>IF(OR($E188="",$F188=""),"",1-(1-$E188)^$F188)</f>
        <v/>
      </c>
      <c r="O188" s="14">
        <f>IF(OR($N188="",$G188=""),"",$N188*$G188)</f>
        <v/>
      </c>
      <c r="P188" s="14">
        <f>IF(OR($O188="",$I188="",$J188="",$H188=""),"",$O188*$I188*$J188*(1-$H188))</f>
        <v/>
      </c>
      <c r="Q188" s="14">
        <f>IF(OR($P188="",$M188=""),"",$P188*$M188)</f>
        <v/>
      </c>
      <c r="R188" s="11" t="n"/>
      <c r="S188" s="13" t="n"/>
      <c r="T188" s="14">
        <f>IF($Q188="","",$Q188+ROW()/1000000)</f>
        <v/>
      </c>
    </row>
    <row r="189">
      <c r="A189" s="11" t="n"/>
      <c r="B189" s="11" t="n"/>
      <c r="C189" s="11" t="n"/>
      <c r="D189" s="13" t="n"/>
      <c r="E189" s="11" t="n"/>
      <c r="F189" s="11" t="n"/>
      <c r="G189" s="11" t="n"/>
      <c r="H189" s="11" t="n"/>
      <c r="I189" s="11" t="n"/>
      <c r="J189" s="11" t="n"/>
      <c r="K189" s="11" t="n"/>
      <c r="L189" s="14">
        <f>IF($C189="","",IFERROR(VLOOKUP($C189,Setup!$A$17:$B$22,2,FALSE),1))</f>
        <v/>
      </c>
      <c r="M189" s="14">
        <f>IF($K189="",$L189,$K189)</f>
        <v/>
      </c>
      <c r="N189" s="14">
        <f>IF(OR($E189="",$F189=""),"",1-(1-$E189)^$F189)</f>
        <v/>
      </c>
      <c r="O189" s="14">
        <f>IF(OR($N189="",$G189=""),"",$N189*$G189)</f>
        <v/>
      </c>
      <c r="P189" s="14">
        <f>IF(OR($O189="",$I189="",$J189="",$H189=""),"",$O189*$I189*$J189*(1-$H189))</f>
        <v/>
      </c>
      <c r="Q189" s="14">
        <f>IF(OR($P189="",$M189=""),"",$P189*$M189)</f>
        <v/>
      </c>
      <c r="R189" s="11" t="n"/>
      <c r="S189" s="13" t="n"/>
      <c r="T189" s="14">
        <f>IF($Q189="","",$Q189+ROW()/1000000)</f>
        <v/>
      </c>
    </row>
    <row r="190">
      <c r="A190" s="11" t="n"/>
      <c r="B190" s="11" t="n"/>
      <c r="C190" s="11" t="n"/>
      <c r="D190" s="13" t="n"/>
      <c r="E190" s="11" t="n"/>
      <c r="F190" s="11" t="n"/>
      <c r="G190" s="11" t="n"/>
      <c r="H190" s="11" t="n"/>
      <c r="I190" s="11" t="n"/>
      <c r="J190" s="11" t="n"/>
      <c r="K190" s="11" t="n"/>
      <c r="L190" s="14">
        <f>IF($C190="","",IFERROR(VLOOKUP($C190,Setup!$A$17:$B$22,2,FALSE),1))</f>
        <v/>
      </c>
      <c r="M190" s="14">
        <f>IF($K190="",$L190,$K190)</f>
        <v/>
      </c>
      <c r="N190" s="14">
        <f>IF(OR($E190="",$F190=""),"",1-(1-$E190)^$F190)</f>
        <v/>
      </c>
      <c r="O190" s="14">
        <f>IF(OR($N190="",$G190=""),"",$N190*$G190)</f>
        <v/>
      </c>
      <c r="P190" s="14">
        <f>IF(OR($O190="",$I190="",$J190="",$H190=""),"",$O190*$I190*$J190*(1-$H190))</f>
        <v/>
      </c>
      <c r="Q190" s="14">
        <f>IF(OR($P190="",$M190=""),"",$P190*$M190)</f>
        <v/>
      </c>
      <c r="R190" s="11" t="n"/>
      <c r="S190" s="13" t="n"/>
      <c r="T190" s="14">
        <f>IF($Q190="","",$Q190+ROW()/1000000)</f>
        <v/>
      </c>
    </row>
    <row r="191">
      <c r="A191" s="11" t="n"/>
      <c r="B191" s="11" t="n"/>
      <c r="C191" s="11" t="n"/>
      <c r="D191" s="13" t="n"/>
      <c r="E191" s="11" t="n"/>
      <c r="F191" s="11" t="n"/>
      <c r="G191" s="11" t="n"/>
      <c r="H191" s="11" t="n"/>
      <c r="I191" s="11" t="n"/>
      <c r="J191" s="11" t="n"/>
      <c r="K191" s="11" t="n"/>
      <c r="L191" s="14">
        <f>IF($C191="","",IFERROR(VLOOKUP($C191,Setup!$A$17:$B$22,2,FALSE),1))</f>
        <v/>
      </c>
      <c r="M191" s="14">
        <f>IF($K191="",$L191,$K191)</f>
        <v/>
      </c>
      <c r="N191" s="14">
        <f>IF(OR($E191="",$F191=""),"",1-(1-$E191)^$F191)</f>
        <v/>
      </c>
      <c r="O191" s="14">
        <f>IF(OR($N191="",$G191=""),"",$N191*$G191)</f>
        <v/>
      </c>
      <c r="P191" s="14">
        <f>IF(OR($O191="",$I191="",$J191="",$H191=""),"",$O191*$I191*$J191*(1-$H191))</f>
        <v/>
      </c>
      <c r="Q191" s="14">
        <f>IF(OR($P191="",$M191=""),"",$P191*$M191)</f>
        <v/>
      </c>
      <c r="R191" s="11" t="n"/>
      <c r="S191" s="13" t="n"/>
      <c r="T191" s="14">
        <f>IF($Q191="","",$Q191+ROW()/1000000)</f>
        <v/>
      </c>
    </row>
    <row r="192">
      <c r="A192" s="11" t="n"/>
      <c r="B192" s="11" t="n"/>
      <c r="C192" s="11" t="n"/>
      <c r="D192" s="13" t="n"/>
      <c r="E192" s="11" t="n"/>
      <c r="F192" s="11" t="n"/>
      <c r="G192" s="11" t="n"/>
      <c r="H192" s="11" t="n"/>
      <c r="I192" s="11" t="n"/>
      <c r="J192" s="11" t="n"/>
      <c r="K192" s="11" t="n"/>
      <c r="L192" s="14">
        <f>IF($C192="","",IFERROR(VLOOKUP($C192,Setup!$A$17:$B$22,2,FALSE),1))</f>
        <v/>
      </c>
      <c r="M192" s="14">
        <f>IF($K192="",$L192,$K192)</f>
        <v/>
      </c>
      <c r="N192" s="14">
        <f>IF(OR($E192="",$F192=""),"",1-(1-$E192)^$F192)</f>
        <v/>
      </c>
      <c r="O192" s="14">
        <f>IF(OR($N192="",$G192=""),"",$N192*$G192)</f>
        <v/>
      </c>
      <c r="P192" s="14">
        <f>IF(OR($O192="",$I192="",$J192="",$H192=""),"",$O192*$I192*$J192*(1-$H192))</f>
        <v/>
      </c>
      <c r="Q192" s="14">
        <f>IF(OR($P192="",$M192=""),"",$P192*$M192)</f>
        <v/>
      </c>
      <c r="R192" s="11" t="n"/>
      <c r="S192" s="13" t="n"/>
      <c r="T192" s="14">
        <f>IF($Q192="","",$Q192+ROW()/1000000)</f>
        <v/>
      </c>
    </row>
    <row r="193">
      <c r="A193" s="11" t="n"/>
      <c r="B193" s="11" t="n"/>
      <c r="C193" s="11" t="n"/>
      <c r="D193" s="13" t="n"/>
      <c r="E193" s="11" t="n"/>
      <c r="F193" s="11" t="n"/>
      <c r="G193" s="11" t="n"/>
      <c r="H193" s="11" t="n"/>
      <c r="I193" s="11" t="n"/>
      <c r="J193" s="11" t="n"/>
      <c r="K193" s="11" t="n"/>
      <c r="L193" s="14">
        <f>IF($C193="","",IFERROR(VLOOKUP($C193,Setup!$A$17:$B$22,2,FALSE),1))</f>
        <v/>
      </c>
      <c r="M193" s="14">
        <f>IF($K193="",$L193,$K193)</f>
        <v/>
      </c>
      <c r="N193" s="14">
        <f>IF(OR($E193="",$F193=""),"",1-(1-$E193)^$F193)</f>
        <v/>
      </c>
      <c r="O193" s="14">
        <f>IF(OR($N193="",$G193=""),"",$N193*$G193)</f>
        <v/>
      </c>
      <c r="P193" s="14">
        <f>IF(OR($O193="",$I193="",$J193="",$H193=""),"",$O193*$I193*$J193*(1-$H193))</f>
        <v/>
      </c>
      <c r="Q193" s="14">
        <f>IF(OR($P193="",$M193=""),"",$P193*$M193)</f>
        <v/>
      </c>
      <c r="R193" s="11" t="n"/>
      <c r="S193" s="13" t="n"/>
      <c r="T193" s="14">
        <f>IF($Q193="","",$Q193+ROW()/1000000)</f>
        <v/>
      </c>
    </row>
    <row r="194">
      <c r="A194" s="11" t="n"/>
      <c r="B194" s="11" t="n"/>
      <c r="C194" s="11" t="n"/>
      <c r="D194" s="13" t="n"/>
      <c r="E194" s="11" t="n"/>
      <c r="F194" s="11" t="n"/>
      <c r="G194" s="11" t="n"/>
      <c r="H194" s="11" t="n"/>
      <c r="I194" s="11" t="n"/>
      <c r="J194" s="11" t="n"/>
      <c r="K194" s="11" t="n"/>
      <c r="L194" s="14">
        <f>IF($C194="","",IFERROR(VLOOKUP($C194,Setup!$A$17:$B$22,2,FALSE),1))</f>
        <v/>
      </c>
      <c r="M194" s="14">
        <f>IF($K194="",$L194,$K194)</f>
        <v/>
      </c>
      <c r="N194" s="14">
        <f>IF(OR($E194="",$F194=""),"",1-(1-$E194)^$F194)</f>
        <v/>
      </c>
      <c r="O194" s="14">
        <f>IF(OR($N194="",$G194=""),"",$N194*$G194)</f>
        <v/>
      </c>
      <c r="P194" s="14">
        <f>IF(OR($O194="",$I194="",$J194="",$H194=""),"",$O194*$I194*$J194*(1-$H194))</f>
        <v/>
      </c>
      <c r="Q194" s="14">
        <f>IF(OR($P194="",$M194=""),"",$P194*$M194)</f>
        <v/>
      </c>
      <c r="R194" s="11" t="n"/>
      <c r="S194" s="13" t="n"/>
      <c r="T194" s="14">
        <f>IF($Q194="","",$Q194+ROW()/1000000)</f>
        <v/>
      </c>
    </row>
    <row r="195">
      <c r="A195" s="11" t="n"/>
      <c r="B195" s="11" t="n"/>
      <c r="C195" s="11" t="n"/>
      <c r="D195" s="13" t="n"/>
      <c r="E195" s="11" t="n"/>
      <c r="F195" s="11" t="n"/>
      <c r="G195" s="11" t="n"/>
      <c r="H195" s="11" t="n"/>
      <c r="I195" s="11" t="n"/>
      <c r="J195" s="11" t="n"/>
      <c r="K195" s="11" t="n"/>
      <c r="L195" s="14">
        <f>IF($C195="","",IFERROR(VLOOKUP($C195,Setup!$A$17:$B$22,2,FALSE),1))</f>
        <v/>
      </c>
      <c r="M195" s="14">
        <f>IF($K195="",$L195,$K195)</f>
        <v/>
      </c>
      <c r="N195" s="14">
        <f>IF(OR($E195="",$F195=""),"",1-(1-$E195)^$F195)</f>
        <v/>
      </c>
      <c r="O195" s="14">
        <f>IF(OR($N195="",$G195=""),"",$N195*$G195)</f>
        <v/>
      </c>
      <c r="P195" s="14">
        <f>IF(OR($O195="",$I195="",$J195="",$H195=""),"",$O195*$I195*$J195*(1-$H195))</f>
        <v/>
      </c>
      <c r="Q195" s="14">
        <f>IF(OR($P195="",$M195=""),"",$P195*$M195)</f>
        <v/>
      </c>
      <c r="R195" s="11" t="n"/>
      <c r="S195" s="13" t="n"/>
      <c r="T195" s="14">
        <f>IF($Q195="","",$Q195+ROW()/1000000)</f>
        <v/>
      </c>
    </row>
    <row r="196">
      <c r="A196" s="11" t="n"/>
      <c r="B196" s="11" t="n"/>
      <c r="C196" s="11" t="n"/>
      <c r="D196" s="13" t="n"/>
      <c r="E196" s="11" t="n"/>
      <c r="F196" s="11" t="n"/>
      <c r="G196" s="11" t="n"/>
      <c r="H196" s="11" t="n"/>
      <c r="I196" s="11" t="n"/>
      <c r="J196" s="11" t="n"/>
      <c r="K196" s="11" t="n"/>
      <c r="L196" s="14">
        <f>IF($C196="","",IFERROR(VLOOKUP($C196,Setup!$A$17:$B$22,2,FALSE),1))</f>
        <v/>
      </c>
      <c r="M196" s="14">
        <f>IF($K196="",$L196,$K196)</f>
        <v/>
      </c>
      <c r="N196" s="14">
        <f>IF(OR($E196="",$F196=""),"",1-(1-$E196)^$F196)</f>
        <v/>
      </c>
      <c r="O196" s="14">
        <f>IF(OR($N196="",$G196=""),"",$N196*$G196)</f>
        <v/>
      </c>
      <c r="P196" s="14">
        <f>IF(OR($O196="",$I196="",$J196="",$H196=""),"",$O196*$I196*$J196*(1-$H196))</f>
        <v/>
      </c>
      <c r="Q196" s="14">
        <f>IF(OR($P196="",$M196=""),"",$P196*$M196)</f>
        <v/>
      </c>
      <c r="R196" s="11" t="n"/>
      <c r="S196" s="13" t="n"/>
      <c r="T196" s="14">
        <f>IF($Q196="","",$Q196+ROW()/1000000)</f>
        <v/>
      </c>
    </row>
    <row r="197">
      <c r="A197" s="11" t="n"/>
      <c r="B197" s="11" t="n"/>
      <c r="C197" s="11" t="n"/>
      <c r="D197" s="13" t="n"/>
      <c r="E197" s="11" t="n"/>
      <c r="F197" s="11" t="n"/>
      <c r="G197" s="11" t="n"/>
      <c r="H197" s="11" t="n"/>
      <c r="I197" s="11" t="n"/>
      <c r="J197" s="11" t="n"/>
      <c r="K197" s="11" t="n"/>
      <c r="L197" s="14">
        <f>IF($C197="","",IFERROR(VLOOKUP($C197,Setup!$A$17:$B$22,2,FALSE),1))</f>
        <v/>
      </c>
      <c r="M197" s="14">
        <f>IF($K197="",$L197,$K197)</f>
        <v/>
      </c>
      <c r="N197" s="14">
        <f>IF(OR($E197="",$F197=""),"",1-(1-$E197)^$F197)</f>
        <v/>
      </c>
      <c r="O197" s="14">
        <f>IF(OR($N197="",$G197=""),"",$N197*$G197)</f>
        <v/>
      </c>
      <c r="P197" s="14">
        <f>IF(OR($O197="",$I197="",$J197="",$H197=""),"",$O197*$I197*$J197*(1-$H197))</f>
        <v/>
      </c>
      <c r="Q197" s="14">
        <f>IF(OR($P197="",$M197=""),"",$P197*$M197)</f>
        <v/>
      </c>
      <c r="R197" s="11" t="n"/>
      <c r="S197" s="13" t="n"/>
      <c r="T197" s="14">
        <f>IF($Q197="","",$Q197+ROW()/1000000)</f>
        <v/>
      </c>
    </row>
    <row r="198">
      <c r="A198" s="11" t="n"/>
      <c r="B198" s="11" t="n"/>
      <c r="C198" s="11" t="n"/>
      <c r="D198" s="13" t="n"/>
      <c r="E198" s="11" t="n"/>
      <c r="F198" s="11" t="n"/>
      <c r="G198" s="11" t="n"/>
      <c r="H198" s="11" t="n"/>
      <c r="I198" s="11" t="n"/>
      <c r="J198" s="11" t="n"/>
      <c r="K198" s="11" t="n"/>
      <c r="L198" s="14">
        <f>IF($C198="","",IFERROR(VLOOKUP($C198,Setup!$A$17:$B$22,2,FALSE),1))</f>
        <v/>
      </c>
      <c r="M198" s="14">
        <f>IF($K198="",$L198,$K198)</f>
        <v/>
      </c>
      <c r="N198" s="14">
        <f>IF(OR($E198="",$F198=""),"",1-(1-$E198)^$F198)</f>
        <v/>
      </c>
      <c r="O198" s="14">
        <f>IF(OR($N198="",$G198=""),"",$N198*$G198)</f>
        <v/>
      </c>
      <c r="P198" s="14">
        <f>IF(OR($O198="",$I198="",$J198="",$H198=""),"",$O198*$I198*$J198*(1-$H198))</f>
        <v/>
      </c>
      <c r="Q198" s="14">
        <f>IF(OR($P198="",$M198=""),"",$P198*$M198)</f>
        <v/>
      </c>
      <c r="R198" s="11" t="n"/>
      <c r="S198" s="13" t="n"/>
      <c r="T198" s="14">
        <f>IF($Q198="","",$Q198+ROW()/1000000)</f>
        <v/>
      </c>
    </row>
    <row r="199">
      <c r="A199" s="11" t="n"/>
      <c r="B199" s="11" t="n"/>
      <c r="C199" s="11" t="n"/>
      <c r="D199" s="13" t="n"/>
      <c r="E199" s="11" t="n"/>
      <c r="F199" s="11" t="n"/>
      <c r="G199" s="11" t="n"/>
      <c r="H199" s="11" t="n"/>
      <c r="I199" s="11" t="n"/>
      <c r="J199" s="11" t="n"/>
      <c r="K199" s="11" t="n"/>
      <c r="L199" s="14">
        <f>IF($C199="","",IFERROR(VLOOKUP($C199,Setup!$A$17:$B$22,2,FALSE),1))</f>
        <v/>
      </c>
      <c r="M199" s="14">
        <f>IF($K199="",$L199,$K199)</f>
        <v/>
      </c>
      <c r="N199" s="14">
        <f>IF(OR($E199="",$F199=""),"",1-(1-$E199)^$F199)</f>
        <v/>
      </c>
      <c r="O199" s="14">
        <f>IF(OR($N199="",$G199=""),"",$N199*$G199)</f>
        <v/>
      </c>
      <c r="P199" s="14">
        <f>IF(OR($O199="",$I199="",$J199="",$H199=""),"",$O199*$I199*$J199*(1-$H199))</f>
        <v/>
      </c>
      <c r="Q199" s="14">
        <f>IF(OR($P199="",$M199=""),"",$P199*$M199)</f>
        <v/>
      </c>
      <c r="R199" s="11" t="n"/>
      <c r="S199" s="13" t="n"/>
      <c r="T199" s="14">
        <f>IF($Q199="","",$Q199+ROW()/1000000)</f>
        <v/>
      </c>
    </row>
    <row r="200">
      <c r="A200" s="11" t="n"/>
      <c r="B200" s="11" t="n"/>
      <c r="C200" s="11" t="n"/>
      <c r="D200" s="13" t="n"/>
      <c r="E200" s="11" t="n"/>
      <c r="F200" s="11" t="n"/>
      <c r="G200" s="11" t="n"/>
      <c r="H200" s="11" t="n"/>
      <c r="I200" s="11" t="n"/>
      <c r="J200" s="11" t="n"/>
      <c r="K200" s="11" t="n"/>
      <c r="L200" s="14">
        <f>IF($C200="","",IFERROR(VLOOKUP($C200,Setup!$A$17:$B$22,2,FALSE),1))</f>
        <v/>
      </c>
      <c r="M200" s="14">
        <f>IF($K200="",$L200,$K200)</f>
        <v/>
      </c>
      <c r="N200" s="14">
        <f>IF(OR($E200="",$F200=""),"",1-(1-$E200)^$F200)</f>
        <v/>
      </c>
      <c r="O200" s="14">
        <f>IF(OR($N200="",$G200=""),"",$N200*$G200)</f>
        <v/>
      </c>
      <c r="P200" s="14">
        <f>IF(OR($O200="",$I200="",$J200="",$H200=""),"",$O200*$I200*$J200*(1-$H200))</f>
        <v/>
      </c>
      <c r="Q200" s="14">
        <f>IF(OR($P200="",$M200=""),"",$P200*$M200)</f>
        <v/>
      </c>
      <c r="R200" s="11" t="n"/>
      <c r="S200" s="13" t="n"/>
      <c r="T200" s="14">
        <f>IF($Q200="","",$Q200+ROW()/1000000)</f>
        <v/>
      </c>
    </row>
    <row r="201">
      <c r="A201" s="11" t="n"/>
      <c r="B201" s="11" t="n"/>
      <c r="C201" s="11" t="n"/>
      <c r="D201" s="13" t="n"/>
      <c r="E201" s="11" t="n"/>
      <c r="F201" s="11" t="n"/>
      <c r="G201" s="11" t="n"/>
      <c r="H201" s="11" t="n"/>
      <c r="I201" s="11" t="n"/>
      <c r="J201" s="11" t="n"/>
      <c r="K201" s="11" t="n"/>
      <c r="L201" s="14">
        <f>IF($C201="","",IFERROR(VLOOKUP($C201,Setup!$A$17:$B$22,2,FALSE),1))</f>
        <v/>
      </c>
      <c r="M201" s="14">
        <f>IF($K201="",$L201,$K201)</f>
        <v/>
      </c>
      <c r="N201" s="14">
        <f>IF(OR($E201="",$F201=""),"",1-(1-$E201)^$F201)</f>
        <v/>
      </c>
      <c r="O201" s="14">
        <f>IF(OR($N201="",$G201=""),"",$N201*$G201)</f>
        <v/>
      </c>
      <c r="P201" s="14">
        <f>IF(OR($O201="",$I201="",$J201="",$H201=""),"",$O201*$I201*$J201*(1-$H201))</f>
        <v/>
      </c>
      <c r="Q201" s="14">
        <f>IF(OR($P201="",$M201=""),"",$P201*$M201)</f>
        <v/>
      </c>
      <c r="R201" s="11" t="n"/>
      <c r="S201" s="13" t="n"/>
      <c r="T201" s="14">
        <f>IF($Q201="","",$Q201+ROW()/1000000)</f>
        <v/>
      </c>
    </row>
    <row r="202">
      <c r="A202" s="11" t="n"/>
      <c r="B202" s="11" t="n"/>
      <c r="C202" s="11" t="n"/>
      <c r="D202" s="13" t="n"/>
      <c r="E202" s="11" t="n"/>
      <c r="F202" s="11" t="n"/>
      <c r="G202" s="11" t="n"/>
      <c r="H202" s="11" t="n"/>
      <c r="I202" s="11" t="n"/>
      <c r="J202" s="11" t="n"/>
      <c r="K202" s="11" t="n"/>
      <c r="L202" s="14">
        <f>IF($C202="","",IFERROR(VLOOKUP($C202,Setup!$A$17:$B$22,2,FALSE),1))</f>
        <v/>
      </c>
      <c r="M202" s="14">
        <f>IF($K202="",$L202,$K202)</f>
        <v/>
      </c>
      <c r="N202" s="14">
        <f>IF(OR($E202="",$F202=""),"",1-(1-$E202)^$F202)</f>
        <v/>
      </c>
      <c r="O202" s="14">
        <f>IF(OR($N202="",$G202=""),"",$N202*$G202)</f>
        <v/>
      </c>
      <c r="P202" s="14">
        <f>IF(OR($O202="",$I202="",$J202="",$H202=""),"",$O202*$I202*$J202*(1-$H202))</f>
        <v/>
      </c>
      <c r="Q202" s="14">
        <f>IF(OR($P202="",$M202=""),"",$P202*$M202)</f>
        <v/>
      </c>
      <c r="R202" s="11" t="n"/>
      <c r="S202" s="13" t="n"/>
      <c r="T202" s="14">
        <f>IF($Q202="","",$Q202+ROW()/1000000)</f>
        <v/>
      </c>
    </row>
    <row r="203">
      <c r="A203" s="11" t="n"/>
      <c r="B203" s="11" t="n"/>
      <c r="C203" s="11" t="n"/>
      <c r="D203" s="13" t="n"/>
      <c r="E203" s="11" t="n"/>
      <c r="F203" s="11" t="n"/>
      <c r="G203" s="11" t="n"/>
      <c r="H203" s="11" t="n"/>
      <c r="I203" s="11" t="n"/>
      <c r="J203" s="11" t="n"/>
      <c r="K203" s="11" t="n"/>
      <c r="L203" s="14">
        <f>IF($C203="","",IFERROR(VLOOKUP($C203,Setup!$A$17:$B$22,2,FALSE),1))</f>
        <v/>
      </c>
      <c r="M203" s="14">
        <f>IF($K203="",$L203,$K203)</f>
        <v/>
      </c>
      <c r="N203" s="14">
        <f>IF(OR($E203="",$F203=""),"",1-(1-$E203)^$F203)</f>
        <v/>
      </c>
      <c r="O203" s="14">
        <f>IF(OR($N203="",$G203=""),"",$N203*$G203)</f>
        <v/>
      </c>
      <c r="P203" s="14">
        <f>IF(OR($O203="",$I203="",$J203="",$H203=""),"",$O203*$I203*$J203*(1-$H203))</f>
        <v/>
      </c>
      <c r="Q203" s="14">
        <f>IF(OR($P203="",$M203=""),"",$P203*$M203)</f>
        <v/>
      </c>
      <c r="R203" s="11" t="n"/>
      <c r="S203" s="13" t="n"/>
      <c r="T203" s="14">
        <f>IF($Q203="","",$Q203+ROW()/1000000)</f>
        <v/>
      </c>
    </row>
    <row r="204">
      <c r="A204" s="11" t="n"/>
      <c r="B204" s="11" t="n"/>
      <c r="C204" s="11" t="n"/>
      <c r="D204" s="13" t="n"/>
      <c r="E204" s="11" t="n"/>
      <c r="F204" s="11" t="n"/>
      <c r="G204" s="11" t="n"/>
      <c r="H204" s="11" t="n"/>
      <c r="I204" s="11" t="n"/>
      <c r="J204" s="11" t="n"/>
      <c r="K204" s="11" t="n"/>
      <c r="L204" s="14">
        <f>IF($C204="","",IFERROR(VLOOKUP($C204,Setup!$A$17:$B$22,2,FALSE),1))</f>
        <v/>
      </c>
      <c r="M204" s="14">
        <f>IF($K204="",$L204,$K204)</f>
        <v/>
      </c>
      <c r="N204" s="14">
        <f>IF(OR($E204="",$F204=""),"",1-(1-$E204)^$F204)</f>
        <v/>
      </c>
      <c r="O204" s="14">
        <f>IF(OR($N204="",$G204=""),"",$N204*$G204)</f>
        <v/>
      </c>
      <c r="P204" s="14">
        <f>IF(OR($O204="",$I204="",$J204="",$H204=""),"",$O204*$I204*$J204*(1-$H204))</f>
        <v/>
      </c>
      <c r="Q204" s="14">
        <f>IF(OR($P204="",$M204=""),"",$P204*$M204)</f>
        <v/>
      </c>
      <c r="R204" s="11" t="n"/>
      <c r="S204" s="13" t="n"/>
      <c r="T204" s="14">
        <f>IF($Q204="","",$Q204+ROW()/1000000)</f>
        <v/>
      </c>
    </row>
    <row r="205">
      <c r="A205" s="11" t="n"/>
      <c r="B205" s="11" t="n"/>
      <c r="C205" s="11" t="n"/>
      <c r="D205" s="13" t="n"/>
      <c r="E205" s="11" t="n"/>
      <c r="F205" s="11" t="n"/>
      <c r="G205" s="11" t="n"/>
      <c r="H205" s="11" t="n"/>
      <c r="I205" s="11" t="n"/>
      <c r="J205" s="11" t="n"/>
      <c r="K205" s="11" t="n"/>
      <c r="L205" s="14">
        <f>IF($C205="","",IFERROR(VLOOKUP($C205,Setup!$A$17:$B$22,2,FALSE),1))</f>
        <v/>
      </c>
      <c r="M205" s="14">
        <f>IF($K205="",$L205,$K205)</f>
        <v/>
      </c>
      <c r="N205" s="14">
        <f>IF(OR($E205="",$F205=""),"",1-(1-$E205)^$F205)</f>
        <v/>
      </c>
      <c r="O205" s="14">
        <f>IF(OR($N205="",$G205=""),"",$N205*$G205)</f>
        <v/>
      </c>
      <c r="P205" s="14">
        <f>IF(OR($O205="",$I205="",$J205="",$H205=""),"",$O205*$I205*$J205*(1-$H205))</f>
        <v/>
      </c>
      <c r="Q205" s="14">
        <f>IF(OR($P205="",$M205=""),"",$P205*$M205)</f>
        <v/>
      </c>
      <c r="R205" s="11" t="n"/>
      <c r="S205" s="13" t="n"/>
      <c r="T205" s="14">
        <f>IF($Q205="","",$Q205+ROW()/1000000)</f>
        <v/>
      </c>
    </row>
    <row r="206">
      <c r="A206" s="11" t="n"/>
      <c r="B206" s="11" t="n"/>
      <c r="C206" s="11" t="n"/>
      <c r="D206" s="13" t="n"/>
      <c r="E206" s="11" t="n"/>
      <c r="F206" s="11" t="n"/>
      <c r="G206" s="11" t="n"/>
      <c r="H206" s="11" t="n"/>
      <c r="I206" s="11" t="n"/>
      <c r="J206" s="11" t="n"/>
      <c r="K206" s="11" t="n"/>
      <c r="L206" s="14">
        <f>IF($C206="","",IFERROR(VLOOKUP($C206,Setup!$A$17:$B$22,2,FALSE),1))</f>
        <v/>
      </c>
      <c r="M206" s="14">
        <f>IF($K206="",$L206,$K206)</f>
        <v/>
      </c>
      <c r="N206" s="14">
        <f>IF(OR($E206="",$F206=""),"",1-(1-$E206)^$F206)</f>
        <v/>
      </c>
      <c r="O206" s="14">
        <f>IF(OR($N206="",$G206=""),"",$N206*$G206)</f>
        <v/>
      </c>
      <c r="P206" s="14">
        <f>IF(OR($O206="",$I206="",$J206="",$H206=""),"",$O206*$I206*$J206*(1-$H206))</f>
        <v/>
      </c>
      <c r="Q206" s="14">
        <f>IF(OR($P206="",$M206=""),"",$P206*$M206)</f>
        <v/>
      </c>
      <c r="R206" s="11" t="n"/>
      <c r="S206" s="13" t="n"/>
      <c r="T206" s="14">
        <f>IF($Q206="","",$Q206+ROW()/1000000)</f>
        <v/>
      </c>
    </row>
    <row r="207">
      <c r="A207" s="11" t="n"/>
      <c r="B207" s="11" t="n"/>
      <c r="C207" s="11" t="n"/>
      <c r="D207" s="13" t="n"/>
      <c r="E207" s="11" t="n"/>
      <c r="F207" s="11" t="n"/>
      <c r="G207" s="11" t="n"/>
      <c r="H207" s="11" t="n"/>
      <c r="I207" s="11" t="n"/>
      <c r="J207" s="11" t="n"/>
      <c r="K207" s="11" t="n"/>
      <c r="L207" s="14">
        <f>IF($C207="","",IFERROR(VLOOKUP($C207,Setup!$A$17:$B$22,2,FALSE),1))</f>
        <v/>
      </c>
      <c r="M207" s="14">
        <f>IF($K207="",$L207,$K207)</f>
        <v/>
      </c>
      <c r="N207" s="14">
        <f>IF(OR($E207="",$F207=""),"",1-(1-$E207)^$F207)</f>
        <v/>
      </c>
      <c r="O207" s="14">
        <f>IF(OR($N207="",$G207=""),"",$N207*$G207)</f>
        <v/>
      </c>
      <c r="P207" s="14">
        <f>IF(OR($O207="",$I207="",$J207="",$H207=""),"",$O207*$I207*$J207*(1-$H207))</f>
        <v/>
      </c>
      <c r="Q207" s="14">
        <f>IF(OR($P207="",$M207=""),"",$P207*$M207)</f>
        <v/>
      </c>
      <c r="R207" s="11" t="n"/>
      <c r="S207" s="13" t="n"/>
      <c r="T207" s="14">
        <f>IF($Q207="","",$Q207+ROW()/1000000)</f>
        <v/>
      </c>
    </row>
    <row r="208">
      <c r="A208" s="11" t="n"/>
      <c r="B208" s="11" t="n"/>
      <c r="C208" s="11" t="n"/>
      <c r="D208" s="13" t="n"/>
      <c r="E208" s="11" t="n"/>
      <c r="F208" s="11" t="n"/>
      <c r="G208" s="11" t="n"/>
      <c r="H208" s="11" t="n"/>
      <c r="I208" s="11" t="n"/>
      <c r="J208" s="11" t="n"/>
      <c r="K208" s="11" t="n"/>
      <c r="L208" s="14">
        <f>IF($C208="","",IFERROR(VLOOKUP($C208,Setup!$A$17:$B$22,2,FALSE),1))</f>
        <v/>
      </c>
      <c r="M208" s="14">
        <f>IF($K208="",$L208,$K208)</f>
        <v/>
      </c>
      <c r="N208" s="14">
        <f>IF(OR($E208="",$F208=""),"",1-(1-$E208)^$F208)</f>
        <v/>
      </c>
      <c r="O208" s="14">
        <f>IF(OR($N208="",$G208=""),"",$N208*$G208)</f>
        <v/>
      </c>
      <c r="P208" s="14">
        <f>IF(OR($O208="",$I208="",$J208="",$H208=""),"",$O208*$I208*$J208*(1-$H208))</f>
        <v/>
      </c>
      <c r="Q208" s="14">
        <f>IF(OR($P208="",$M208=""),"",$P208*$M208)</f>
        <v/>
      </c>
      <c r="R208" s="11" t="n"/>
      <c r="S208" s="13" t="n"/>
      <c r="T208" s="14">
        <f>IF($Q208="","",$Q208+ROW()/1000000)</f>
        <v/>
      </c>
    </row>
    <row r="209">
      <c r="A209" s="11" t="n"/>
      <c r="B209" s="11" t="n"/>
      <c r="C209" s="11" t="n"/>
      <c r="D209" s="13" t="n"/>
      <c r="E209" s="11" t="n"/>
      <c r="F209" s="11" t="n"/>
      <c r="G209" s="11" t="n"/>
      <c r="H209" s="11" t="n"/>
      <c r="I209" s="11" t="n"/>
      <c r="J209" s="11" t="n"/>
      <c r="K209" s="11" t="n"/>
      <c r="L209" s="14">
        <f>IF($C209="","",IFERROR(VLOOKUP($C209,Setup!$A$17:$B$22,2,FALSE),1))</f>
        <v/>
      </c>
      <c r="M209" s="14">
        <f>IF($K209="",$L209,$K209)</f>
        <v/>
      </c>
      <c r="N209" s="14">
        <f>IF(OR($E209="",$F209=""),"",1-(1-$E209)^$F209)</f>
        <v/>
      </c>
      <c r="O209" s="14">
        <f>IF(OR($N209="",$G209=""),"",$N209*$G209)</f>
        <v/>
      </c>
      <c r="P209" s="14">
        <f>IF(OR($O209="",$I209="",$J209="",$H209=""),"",$O209*$I209*$J209*(1-$H209))</f>
        <v/>
      </c>
      <c r="Q209" s="14">
        <f>IF(OR($P209="",$M209=""),"",$P209*$M209)</f>
        <v/>
      </c>
      <c r="R209" s="11" t="n"/>
      <c r="S209" s="13" t="n"/>
      <c r="T209" s="14">
        <f>IF($Q209="","",$Q209+ROW()/1000000)</f>
        <v/>
      </c>
    </row>
    <row r="210">
      <c r="A210" s="11" t="n"/>
      <c r="B210" s="11" t="n"/>
      <c r="C210" s="11" t="n"/>
      <c r="D210" s="13" t="n"/>
      <c r="E210" s="11" t="n"/>
      <c r="F210" s="11" t="n"/>
      <c r="G210" s="11" t="n"/>
      <c r="H210" s="11" t="n"/>
      <c r="I210" s="11" t="n"/>
      <c r="J210" s="11" t="n"/>
      <c r="K210" s="11" t="n"/>
      <c r="L210" s="14">
        <f>IF($C210="","",IFERROR(VLOOKUP($C210,Setup!$A$17:$B$22,2,FALSE),1))</f>
        <v/>
      </c>
      <c r="M210" s="14">
        <f>IF($K210="",$L210,$K210)</f>
        <v/>
      </c>
      <c r="N210" s="14">
        <f>IF(OR($E210="",$F210=""),"",1-(1-$E210)^$F210)</f>
        <v/>
      </c>
      <c r="O210" s="14">
        <f>IF(OR($N210="",$G210=""),"",$N210*$G210)</f>
        <v/>
      </c>
      <c r="P210" s="14">
        <f>IF(OR($O210="",$I210="",$J210="",$H210=""),"",$O210*$I210*$J210*(1-$H210))</f>
        <v/>
      </c>
      <c r="Q210" s="14">
        <f>IF(OR($P210="",$M210=""),"",$P210*$M210)</f>
        <v/>
      </c>
      <c r="R210" s="11" t="n"/>
      <c r="S210" s="13" t="n"/>
      <c r="T210" s="14">
        <f>IF($Q210="","",$Q210+ROW()/1000000)</f>
        <v/>
      </c>
    </row>
    <row r="211">
      <c r="A211" s="11" t="n"/>
      <c r="B211" s="11" t="n"/>
      <c r="C211" s="11" t="n"/>
      <c r="D211" s="13" t="n"/>
      <c r="E211" s="11" t="n"/>
      <c r="F211" s="11" t="n"/>
      <c r="G211" s="11" t="n"/>
      <c r="H211" s="11" t="n"/>
      <c r="I211" s="11" t="n"/>
      <c r="J211" s="11" t="n"/>
      <c r="K211" s="11" t="n"/>
      <c r="L211" s="14">
        <f>IF($C211="","",IFERROR(VLOOKUP($C211,Setup!$A$17:$B$22,2,FALSE),1))</f>
        <v/>
      </c>
      <c r="M211" s="14">
        <f>IF($K211="",$L211,$K211)</f>
        <v/>
      </c>
      <c r="N211" s="14">
        <f>IF(OR($E211="",$F211=""),"",1-(1-$E211)^$F211)</f>
        <v/>
      </c>
      <c r="O211" s="14">
        <f>IF(OR($N211="",$G211=""),"",$N211*$G211)</f>
        <v/>
      </c>
      <c r="P211" s="14">
        <f>IF(OR($O211="",$I211="",$J211="",$H211=""),"",$O211*$I211*$J211*(1-$H211))</f>
        <v/>
      </c>
      <c r="Q211" s="14">
        <f>IF(OR($P211="",$M211=""),"",$P211*$M211)</f>
        <v/>
      </c>
      <c r="R211" s="11" t="n"/>
      <c r="S211" s="13" t="n"/>
      <c r="T211" s="14">
        <f>IF($Q211="","",$Q211+ROW()/1000000)</f>
        <v/>
      </c>
    </row>
    <row r="212">
      <c r="A212" s="11" t="n"/>
      <c r="B212" s="11" t="n"/>
      <c r="C212" s="11" t="n"/>
      <c r="D212" s="13" t="n"/>
      <c r="E212" s="11" t="n"/>
      <c r="F212" s="11" t="n"/>
      <c r="G212" s="11" t="n"/>
      <c r="H212" s="11" t="n"/>
      <c r="I212" s="11" t="n"/>
      <c r="J212" s="11" t="n"/>
      <c r="K212" s="11" t="n"/>
      <c r="L212" s="14">
        <f>IF($C212="","",IFERROR(VLOOKUP($C212,Setup!$A$17:$B$22,2,FALSE),1))</f>
        <v/>
      </c>
      <c r="M212" s="14">
        <f>IF($K212="",$L212,$K212)</f>
        <v/>
      </c>
      <c r="N212" s="14">
        <f>IF(OR($E212="",$F212=""),"",1-(1-$E212)^$F212)</f>
        <v/>
      </c>
      <c r="O212" s="14">
        <f>IF(OR($N212="",$G212=""),"",$N212*$G212)</f>
        <v/>
      </c>
      <c r="P212" s="14">
        <f>IF(OR($O212="",$I212="",$J212="",$H212=""),"",$O212*$I212*$J212*(1-$H212))</f>
        <v/>
      </c>
      <c r="Q212" s="14">
        <f>IF(OR($P212="",$M212=""),"",$P212*$M212)</f>
        <v/>
      </c>
      <c r="R212" s="11" t="n"/>
      <c r="S212" s="13" t="n"/>
      <c r="T212" s="14">
        <f>IF($Q212="","",$Q212+ROW()/1000000)</f>
        <v/>
      </c>
    </row>
    <row r="213">
      <c r="A213" s="11" t="n"/>
      <c r="B213" s="11" t="n"/>
      <c r="C213" s="11" t="n"/>
      <c r="D213" s="13" t="n"/>
      <c r="E213" s="11" t="n"/>
      <c r="F213" s="11" t="n"/>
      <c r="G213" s="11" t="n"/>
      <c r="H213" s="11" t="n"/>
      <c r="I213" s="11" t="n"/>
      <c r="J213" s="11" t="n"/>
      <c r="K213" s="11" t="n"/>
      <c r="L213" s="14">
        <f>IF($C213="","",IFERROR(VLOOKUP($C213,Setup!$A$17:$B$22,2,FALSE),1))</f>
        <v/>
      </c>
      <c r="M213" s="14">
        <f>IF($K213="",$L213,$K213)</f>
        <v/>
      </c>
      <c r="N213" s="14">
        <f>IF(OR($E213="",$F213=""),"",1-(1-$E213)^$F213)</f>
        <v/>
      </c>
      <c r="O213" s="14">
        <f>IF(OR($N213="",$G213=""),"",$N213*$G213)</f>
        <v/>
      </c>
      <c r="P213" s="14">
        <f>IF(OR($O213="",$I213="",$J213="",$H213=""),"",$O213*$I213*$J213*(1-$H213))</f>
        <v/>
      </c>
      <c r="Q213" s="14">
        <f>IF(OR($P213="",$M213=""),"",$P213*$M213)</f>
        <v/>
      </c>
      <c r="R213" s="11" t="n"/>
      <c r="S213" s="13" t="n"/>
      <c r="T213" s="14">
        <f>IF($Q213="","",$Q213+ROW()/1000000)</f>
        <v/>
      </c>
    </row>
    <row r="214">
      <c r="A214" s="11" t="n"/>
      <c r="B214" s="11" t="n"/>
      <c r="C214" s="11" t="n"/>
      <c r="D214" s="13" t="n"/>
      <c r="E214" s="11" t="n"/>
      <c r="F214" s="11" t="n"/>
      <c r="G214" s="11" t="n"/>
      <c r="H214" s="11" t="n"/>
      <c r="I214" s="11" t="n"/>
      <c r="J214" s="11" t="n"/>
      <c r="K214" s="11" t="n"/>
      <c r="L214" s="14">
        <f>IF($C214="","",IFERROR(VLOOKUP($C214,Setup!$A$17:$B$22,2,FALSE),1))</f>
        <v/>
      </c>
      <c r="M214" s="14">
        <f>IF($K214="",$L214,$K214)</f>
        <v/>
      </c>
      <c r="N214" s="14">
        <f>IF(OR($E214="",$F214=""),"",1-(1-$E214)^$F214)</f>
        <v/>
      </c>
      <c r="O214" s="14">
        <f>IF(OR($N214="",$G214=""),"",$N214*$G214)</f>
        <v/>
      </c>
      <c r="P214" s="14">
        <f>IF(OR($O214="",$I214="",$J214="",$H214=""),"",$O214*$I214*$J214*(1-$H214))</f>
        <v/>
      </c>
      <c r="Q214" s="14">
        <f>IF(OR($P214="",$M214=""),"",$P214*$M214)</f>
        <v/>
      </c>
      <c r="R214" s="11" t="n"/>
      <c r="S214" s="13" t="n"/>
      <c r="T214" s="14">
        <f>IF($Q214="","",$Q214+ROW()/1000000)</f>
        <v/>
      </c>
    </row>
    <row r="215">
      <c r="A215" s="11" t="n"/>
      <c r="B215" s="11" t="n"/>
      <c r="C215" s="11" t="n"/>
      <c r="D215" s="13" t="n"/>
      <c r="E215" s="11" t="n"/>
      <c r="F215" s="11" t="n"/>
      <c r="G215" s="11" t="n"/>
      <c r="H215" s="11" t="n"/>
      <c r="I215" s="11" t="n"/>
      <c r="J215" s="11" t="n"/>
      <c r="K215" s="11" t="n"/>
      <c r="L215" s="14">
        <f>IF($C215="","",IFERROR(VLOOKUP($C215,Setup!$A$17:$B$22,2,FALSE),1))</f>
        <v/>
      </c>
      <c r="M215" s="14">
        <f>IF($K215="",$L215,$K215)</f>
        <v/>
      </c>
      <c r="N215" s="14">
        <f>IF(OR($E215="",$F215=""),"",1-(1-$E215)^$F215)</f>
        <v/>
      </c>
      <c r="O215" s="14">
        <f>IF(OR($N215="",$G215=""),"",$N215*$G215)</f>
        <v/>
      </c>
      <c r="P215" s="14">
        <f>IF(OR($O215="",$I215="",$J215="",$H215=""),"",$O215*$I215*$J215*(1-$H215))</f>
        <v/>
      </c>
      <c r="Q215" s="14">
        <f>IF(OR($P215="",$M215=""),"",$P215*$M215)</f>
        <v/>
      </c>
      <c r="R215" s="11" t="n"/>
      <c r="S215" s="13" t="n"/>
      <c r="T215" s="14">
        <f>IF($Q215="","",$Q215+ROW()/1000000)</f>
        <v/>
      </c>
    </row>
    <row r="216">
      <c r="A216" s="11" t="n"/>
      <c r="B216" s="11" t="n"/>
      <c r="C216" s="11" t="n"/>
      <c r="D216" s="13" t="n"/>
      <c r="E216" s="11" t="n"/>
      <c r="F216" s="11" t="n"/>
      <c r="G216" s="11" t="n"/>
      <c r="H216" s="11" t="n"/>
      <c r="I216" s="11" t="n"/>
      <c r="J216" s="11" t="n"/>
      <c r="K216" s="11" t="n"/>
      <c r="L216" s="14">
        <f>IF($C216="","",IFERROR(VLOOKUP($C216,Setup!$A$17:$B$22,2,FALSE),1))</f>
        <v/>
      </c>
      <c r="M216" s="14">
        <f>IF($K216="",$L216,$K216)</f>
        <v/>
      </c>
      <c r="N216" s="14">
        <f>IF(OR($E216="",$F216=""),"",1-(1-$E216)^$F216)</f>
        <v/>
      </c>
      <c r="O216" s="14">
        <f>IF(OR($N216="",$G216=""),"",$N216*$G216)</f>
        <v/>
      </c>
      <c r="P216" s="14">
        <f>IF(OR($O216="",$I216="",$J216="",$H216=""),"",$O216*$I216*$J216*(1-$H216))</f>
        <v/>
      </c>
      <c r="Q216" s="14">
        <f>IF(OR($P216="",$M216=""),"",$P216*$M216)</f>
        <v/>
      </c>
      <c r="R216" s="11" t="n"/>
      <c r="S216" s="13" t="n"/>
      <c r="T216" s="14">
        <f>IF($Q216="","",$Q216+ROW()/1000000)</f>
        <v/>
      </c>
    </row>
    <row r="217">
      <c r="A217" s="11" t="n"/>
      <c r="B217" s="11" t="n"/>
      <c r="C217" s="11" t="n"/>
      <c r="D217" s="13" t="n"/>
      <c r="E217" s="11" t="n"/>
      <c r="F217" s="11" t="n"/>
      <c r="G217" s="11" t="n"/>
      <c r="H217" s="11" t="n"/>
      <c r="I217" s="11" t="n"/>
      <c r="J217" s="11" t="n"/>
      <c r="K217" s="11" t="n"/>
      <c r="L217" s="14">
        <f>IF($C217="","",IFERROR(VLOOKUP($C217,Setup!$A$17:$B$22,2,FALSE),1))</f>
        <v/>
      </c>
      <c r="M217" s="14">
        <f>IF($K217="",$L217,$K217)</f>
        <v/>
      </c>
      <c r="N217" s="14">
        <f>IF(OR($E217="",$F217=""),"",1-(1-$E217)^$F217)</f>
        <v/>
      </c>
      <c r="O217" s="14">
        <f>IF(OR($N217="",$G217=""),"",$N217*$G217)</f>
        <v/>
      </c>
      <c r="P217" s="14">
        <f>IF(OR($O217="",$I217="",$J217="",$H217=""),"",$O217*$I217*$J217*(1-$H217))</f>
        <v/>
      </c>
      <c r="Q217" s="14">
        <f>IF(OR($P217="",$M217=""),"",$P217*$M217)</f>
        <v/>
      </c>
      <c r="R217" s="11" t="n"/>
      <c r="S217" s="13" t="n"/>
      <c r="T217" s="14">
        <f>IF($Q217="","",$Q217+ROW()/1000000)</f>
        <v/>
      </c>
    </row>
    <row r="218">
      <c r="A218" s="11" t="n"/>
      <c r="B218" s="11" t="n"/>
      <c r="C218" s="11" t="n"/>
      <c r="D218" s="13" t="n"/>
      <c r="E218" s="11" t="n"/>
      <c r="F218" s="11" t="n"/>
      <c r="G218" s="11" t="n"/>
      <c r="H218" s="11" t="n"/>
      <c r="I218" s="11" t="n"/>
      <c r="J218" s="11" t="n"/>
      <c r="K218" s="11" t="n"/>
      <c r="L218" s="14">
        <f>IF($C218="","",IFERROR(VLOOKUP($C218,Setup!$A$17:$B$22,2,FALSE),1))</f>
        <v/>
      </c>
      <c r="M218" s="14">
        <f>IF($K218="",$L218,$K218)</f>
        <v/>
      </c>
      <c r="N218" s="14">
        <f>IF(OR($E218="",$F218=""),"",1-(1-$E218)^$F218)</f>
        <v/>
      </c>
      <c r="O218" s="14">
        <f>IF(OR($N218="",$G218=""),"",$N218*$G218)</f>
        <v/>
      </c>
      <c r="P218" s="14">
        <f>IF(OR($O218="",$I218="",$J218="",$H218=""),"",$O218*$I218*$J218*(1-$H218))</f>
        <v/>
      </c>
      <c r="Q218" s="14">
        <f>IF(OR($P218="",$M218=""),"",$P218*$M218)</f>
        <v/>
      </c>
      <c r="R218" s="11" t="n"/>
      <c r="S218" s="13" t="n"/>
      <c r="T218" s="14">
        <f>IF($Q218="","",$Q218+ROW()/1000000)</f>
        <v/>
      </c>
    </row>
    <row r="219">
      <c r="A219" s="11" t="n"/>
      <c r="B219" s="11" t="n"/>
      <c r="C219" s="11" t="n"/>
      <c r="D219" s="13" t="n"/>
      <c r="E219" s="11" t="n"/>
      <c r="F219" s="11" t="n"/>
      <c r="G219" s="11" t="n"/>
      <c r="H219" s="11" t="n"/>
      <c r="I219" s="11" t="n"/>
      <c r="J219" s="11" t="n"/>
      <c r="K219" s="11" t="n"/>
      <c r="L219" s="14">
        <f>IF($C219="","",IFERROR(VLOOKUP($C219,Setup!$A$17:$B$22,2,FALSE),1))</f>
        <v/>
      </c>
      <c r="M219" s="14">
        <f>IF($K219="",$L219,$K219)</f>
        <v/>
      </c>
      <c r="N219" s="14">
        <f>IF(OR($E219="",$F219=""),"",1-(1-$E219)^$F219)</f>
        <v/>
      </c>
      <c r="O219" s="14">
        <f>IF(OR($N219="",$G219=""),"",$N219*$G219)</f>
        <v/>
      </c>
      <c r="P219" s="14">
        <f>IF(OR($O219="",$I219="",$J219="",$H219=""),"",$O219*$I219*$J219*(1-$H219))</f>
        <v/>
      </c>
      <c r="Q219" s="14">
        <f>IF(OR($P219="",$M219=""),"",$P219*$M219)</f>
        <v/>
      </c>
      <c r="R219" s="11" t="n"/>
      <c r="S219" s="13" t="n"/>
      <c r="T219" s="14">
        <f>IF($Q219="","",$Q219+ROW()/1000000)</f>
        <v/>
      </c>
    </row>
    <row r="220">
      <c r="A220" s="11" t="n"/>
      <c r="B220" s="11" t="n"/>
      <c r="C220" s="11" t="n"/>
      <c r="D220" s="13" t="n"/>
      <c r="E220" s="11" t="n"/>
      <c r="F220" s="11" t="n"/>
      <c r="G220" s="11" t="n"/>
      <c r="H220" s="11" t="n"/>
      <c r="I220" s="11" t="n"/>
      <c r="J220" s="11" t="n"/>
      <c r="K220" s="11" t="n"/>
      <c r="L220" s="14">
        <f>IF($C220="","",IFERROR(VLOOKUP($C220,Setup!$A$17:$B$22,2,FALSE),1))</f>
        <v/>
      </c>
      <c r="M220" s="14">
        <f>IF($K220="",$L220,$K220)</f>
        <v/>
      </c>
      <c r="N220" s="14">
        <f>IF(OR($E220="",$F220=""),"",1-(1-$E220)^$F220)</f>
        <v/>
      </c>
      <c r="O220" s="14">
        <f>IF(OR($N220="",$G220=""),"",$N220*$G220)</f>
        <v/>
      </c>
      <c r="P220" s="14">
        <f>IF(OR($O220="",$I220="",$J220="",$H220=""),"",$O220*$I220*$J220*(1-$H220))</f>
        <v/>
      </c>
      <c r="Q220" s="14">
        <f>IF(OR($P220="",$M220=""),"",$P220*$M220)</f>
        <v/>
      </c>
      <c r="R220" s="11" t="n"/>
      <c r="S220" s="13" t="n"/>
      <c r="T220" s="14">
        <f>IF($Q220="","",$Q220+ROW()/1000000)</f>
        <v/>
      </c>
    </row>
    <row r="221">
      <c r="A221" s="11" t="n"/>
      <c r="B221" s="11" t="n"/>
      <c r="C221" s="11" t="n"/>
      <c r="D221" s="13" t="n"/>
      <c r="E221" s="11" t="n"/>
      <c r="F221" s="11" t="n"/>
      <c r="G221" s="11" t="n"/>
      <c r="H221" s="11" t="n"/>
      <c r="I221" s="11" t="n"/>
      <c r="J221" s="11" t="n"/>
      <c r="K221" s="11" t="n"/>
      <c r="L221" s="14">
        <f>IF($C221="","",IFERROR(VLOOKUP($C221,Setup!$A$17:$B$22,2,FALSE),1))</f>
        <v/>
      </c>
      <c r="M221" s="14">
        <f>IF($K221="",$L221,$K221)</f>
        <v/>
      </c>
      <c r="N221" s="14">
        <f>IF(OR($E221="",$F221=""),"",1-(1-$E221)^$F221)</f>
        <v/>
      </c>
      <c r="O221" s="14">
        <f>IF(OR($N221="",$G221=""),"",$N221*$G221)</f>
        <v/>
      </c>
      <c r="P221" s="14">
        <f>IF(OR($O221="",$I221="",$J221="",$H221=""),"",$O221*$I221*$J221*(1-$H221))</f>
        <v/>
      </c>
      <c r="Q221" s="14">
        <f>IF(OR($P221="",$M221=""),"",$P221*$M221)</f>
        <v/>
      </c>
      <c r="R221" s="11" t="n"/>
      <c r="S221" s="13" t="n"/>
      <c r="T221" s="14">
        <f>IF($Q221="","",$Q221+ROW()/1000000)</f>
        <v/>
      </c>
    </row>
    <row r="222">
      <c r="A222" s="11" t="n"/>
      <c r="B222" s="11" t="n"/>
      <c r="C222" s="11" t="n"/>
      <c r="D222" s="13" t="n"/>
      <c r="E222" s="11" t="n"/>
      <c r="F222" s="11" t="n"/>
      <c r="G222" s="11" t="n"/>
      <c r="H222" s="11" t="n"/>
      <c r="I222" s="11" t="n"/>
      <c r="J222" s="11" t="n"/>
      <c r="K222" s="11" t="n"/>
      <c r="L222" s="14">
        <f>IF($C222="","",IFERROR(VLOOKUP($C222,Setup!$A$17:$B$22,2,FALSE),1))</f>
        <v/>
      </c>
      <c r="M222" s="14">
        <f>IF($K222="",$L222,$K222)</f>
        <v/>
      </c>
      <c r="N222" s="14">
        <f>IF(OR($E222="",$F222=""),"",1-(1-$E222)^$F222)</f>
        <v/>
      </c>
      <c r="O222" s="14">
        <f>IF(OR($N222="",$G222=""),"",$N222*$G222)</f>
        <v/>
      </c>
      <c r="P222" s="14">
        <f>IF(OR($O222="",$I222="",$J222="",$H222=""),"",$O222*$I222*$J222*(1-$H222))</f>
        <v/>
      </c>
      <c r="Q222" s="14">
        <f>IF(OR($P222="",$M222=""),"",$P222*$M222)</f>
        <v/>
      </c>
      <c r="R222" s="11" t="n"/>
      <c r="S222" s="13" t="n"/>
      <c r="T222" s="14">
        <f>IF($Q222="","",$Q222+ROW()/1000000)</f>
        <v/>
      </c>
    </row>
    <row r="223">
      <c r="A223" s="11" t="n"/>
      <c r="B223" s="11" t="n"/>
      <c r="C223" s="11" t="n"/>
      <c r="D223" s="13" t="n"/>
      <c r="E223" s="11" t="n"/>
      <c r="F223" s="11" t="n"/>
      <c r="G223" s="11" t="n"/>
      <c r="H223" s="11" t="n"/>
      <c r="I223" s="11" t="n"/>
      <c r="J223" s="11" t="n"/>
      <c r="K223" s="11" t="n"/>
      <c r="L223" s="14">
        <f>IF($C223="","",IFERROR(VLOOKUP($C223,Setup!$A$17:$B$22,2,FALSE),1))</f>
        <v/>
      </c>
      <c r="M223" s="14">
        <f>IF($K223="",$L223,$K223)</f>
        <v/>
      </c>
      <c r="N223" s="14">
        <f>IF(OR($E223="",$F223=""),"",1-(1-$E223)^$F223)</f>
        <v/>
      </c>
      <c r="O223" s="14">
        <f>IF(OR($N223="",$G223=""),"",$N223*$G223)</f>
        <v/>
      </c>
      <c r="P223" s="14">
        <f>IF(OR($O223="",$I223="",$J223="",$H223=""),"",$O223*$I223*$J223*(1-$H223))</f>
        <v/>
      </c>
      <c r="Q223" s="14">
        <f>IF(OR($P223="",$M223=""),"",$P223*$M223)</f>
        <v/>
      </c>
      <c r="R223" s="11" t="n"/>
      <c r="S223" s="13" t="n"/>
      <c r="T223" s="14">
        <f>IF($Q223="","",$Q223+ROW()/1000000)</f>
        <v/>
      </c>
    </row>
    <row r="224">
      <c r="A224" s="11" t="n"/>
      <c r="B224" s="11" t="n"/>
      <c r="C224" s="11" t="n"/>
      <c r="D224" s="13" t="n"/>
      <c r="E224" s="11" t="n"/>
      <c r="F224" s="11" t="n"/>
      <c r="G224" s="11" t="n"/>
      <c r="H224" s="11" t="n"/>
      <c r="I224" s="11" t="n"/>
      <c r="J224" s="11" t="n"/>
      <c r="K224" s="11" t="n"/>
      <c r="L224" s="14">
        <f>IF($C224="","",IFERROR(VLOOKUP($C224,Setup!$A$17:$B$22,2,FALSE),1))</f>
        <v/>
      </c>
      <c r="M224" s="14">
        <f>IF($K224="",$L224,$K224)</f>
        <v/>
      </c>
      <c r="N224" s="14">
        <f>IF(OR($E224="",$F224=""),"",1-(1-$E224)^$F224)</f>
        <v/>
      </c>
      <c r="O224" s="14">
        <f>IF(OR($N224="",$G224=""),"",$N224*$G224)</f>
        <v/>
      </c>
      <c r="P224" s="14">
        <f>IF(OR($O224="",$I224="",$J224="",$H224=""),"",$O224*$I224*$J224*(1-$H224))</f>
        <v/>
      </c>
      <c r="Q224" s="14">
        <f>IF(OR($P224="",$M224=""),"",$P224*$M224)</f>
        <v/>
      </c>
      <c r="R224" s="11" t="n"/>
      <c r="S224" s="13" t="n"/>
      <c r="T224" s="14">
        <f>IF($Q224="","",$Q224+ROW()/1000000)</f>
        <v/>
      </c>
    </row>
    <row r="225">
      <c r="A225" s="11" t="n"/>
      <c r="B225" s="11" t="n"/>
      <c r="C225" s="11" t="n"/>
      <c r="D225" s="13" t="n"/>
      <c r="E225" s="11" t="n"/>
      <c r="F225" s="11" t="n"/>
      <c r="G225" s="11" t="n"/>
      <c r="H225" s="11" t="n"/>
      <c r="I225" s="11" t="n"/>
      <c r="J225" s="11" t="n"/>
      <c r="K225" s="11" t="n"/>
      <c r="L225" s="14">
        <f>IF($C225="","",IFERROR(VLOOKUP($C225,Setup!$A$17:$B$22,2,FALSE),1))</f>
        <v/>
      </c>
      <c r="M225" s="14">
        <f>IF($K225="",$L225,$K225)</f>
        <v/>
      </c>
      <c r="N225" s="14">
        <f>IF(OR($E225="",$F225=""),"",1-(1-$E225)^$F225)</f>
        <v/>
      </c>
      <c r="O225" s="14">
        <f>IF(OR($N225="",$G225=""),"",$N225*$G225)</f>
        <v/>
      </c>
      <c r="P225" s="14">
        <f>IF(OR($O225="",$I225="",$J225="",$H225=""),"",$O225*$I225*$J225*(1-$H225))</f>
        <v/>
      </c>
      <c r="Q225" s="14">
        <f>IF(OR($P225="",$M225=""),"",$P225*$M225)</f>
        <v/>
      </c>
      <c r="R225" s="11" t="n"/>
      <c r="S225" s="13" t="n"/>
      <c r="T225" s="14">
        <f>IF($Q225="","",$Q225+ROW()/1000000)</f>
        <v/>
      </c>
    </row>
    <row r="226">
      <c r="A226" s="11" t="n"/>
      <c r="B226" s="11" t="n"/>
      <c r="C226" s="11" t="n"/>
      <c r="D226" s="13" t="n"/>
      <c r="E226" s="11" t="n"/>
      <c r="F226" s="11" t="n"/>
      <c r="G226" s="11" t="n"/>
      <c r="H226" s="11" t="n"/>
      <c r="I226" s="11" t="n"/>
      <c r="J226" s="11" t="n"/>
      <c r="K226" s="11" t="n"/>
      <c r="L226" s="14">
        <f>IF($C226="","",IFERROR(VLOOKUP($C226,Setup!$A$17:$B$22,2,FALSE),1))</f>
        <v/>
      </c>
      <c r="M226" s="14">
        <f>IF($K226="",$L226,$K226)</f>
        <v/>
      </c>
      <c r="N226" s="14">
        <f>IF(OR($E226="",$F226=""),"",1-(1-$E226)^$F226)</f>
        <v/>
      </c>
      <c r="O226" s="14">
        <f>IF(OR($N226="",$G226=""),"",$N226*$G226)</f>
        <v/>
      </c>
      <c r="P226" s="14">
        <f>IF(OR($O226="",$I226="",$J226="",$H226=""),"",$O226*$I226*$J226*(1-$H226))</f>
        <v/>
      </c>
      <c r="Q226" s="14">
        <f>IF(OR($P226="",$M226=""),"",$P226*$M226)</f>
        <v/>
      </c>
      <c r="R226" s="11" t="n"/>
      <c r="S226" s="13" t="n"/>
      <c r="T226" s="14">
        <f>IF($Q226="","",$Q226+ROW()/1000000)</f>
        <v/>
      </c>
    </row>
    <row r="227">
      <c r="A227" s="11" t="n"/>
      <c r="B227" s="11" t="n"/>
      <c r="C227" s="11" t="n"/>
      <c r="D227" s="13" t="n"/>
      <c r="E227" s="11" t="n"/>
      <c r="F227" s="11" t="n"/>
      <c r="G227" s="11" t="n"/>
      <c r="H227" s="11" t="n"/>
      <c r="I227" s="11" t="n"/>
      <c r="J227" s="11" t="n"/>
      <c r="K227" s="11" t="n"/>
      <c r="L227" s="14">
        <f>IF($C227="","",IFERROR(VLOOKUP($C227,Setup!$A$17:$B$22,2,FALSE),1))</f>
        <v/>
      </c>
      <c r="M227" s="14">
        <f>IF($K227="",$L227,$K227)</f>
        <v/>
      </c>
      <c r="N227" s="14">
        <f>IF(OR($E227="",$F227=""),"",1-(1-$E227)^$F227)</f>
        <v/>
      </c>
      <c r="O227" s="14">
        <f>IF(OR($N227="",$G227=""),"",$N227*$G227)</f>
        <v/>
      </c>
      <c r="P227" s="14">
        <f>IF(OR($O227="",$I227="",$J227="",$H227=""),"",$O227*$I227*$J227*(1-$H227))</f>
        <v/>
      </c>
      <c r="Q227" s="14">
        <f>IF(OR($P227="",$M227=""),"",$P227*$M227)</f>
        <v/>
      </c>
      <c r="R227" s="11" t="n"/>
      <c r="S227" s="13" t="n"/>
      <c r="T227" s="14">
        <f>IF($Q227="","",$Q227+ROW()/1000000)</f>
        <v/>
      </c>
    </row>
    <row r="228">
      <c r="A228" s="11" t="n"/>
      <c r="B228" s="11" t="n"/>
      <c r="C228" s="11" t="n"/>
      <c r="D228" s="13" t="n"/>
      <c r="E228" s="11" t="n"/>
      <c r="F228" s="11" t="n"/>
      <c r="G228" s="11" t="n"/>
      <c r="H228" s="11" t="n"/>
      <c r="I228" s="11" t="n"/>
      <c r="J228" s="11" t="n"/>
      <c r="K228" s="11" t="n"/>
      <c r="L228" s="14">
        <f>IF($C228="","",IFERROR(VLOOKUP($C228,Setup!$A$17:$B$22,2,FALSE),1))</f>
        <v/>
      </c>
      <c r="M228" s="14">
        <f>IF($K228="",$L228,$K228)</f>
        <v/>
      </c>
      <c r="N228" s="14">
        <f>IF(OR($E228="",$F228=""),"",1-(1-$E228)^$F228)</f>
        <v/>
      </c>
      <c r="O228" s="14">
        <f>IF(OR($N228="",$G228=""),"",$N228*$G228)</f>
        <v/>
      </c>
      <c r="P228" s="14">
        <f>IF(OR($O228="",$I228="",$J228="",$H228=""),"",$O228*$I228*$J228*(1-$H228))</f>
        <v/>
      </c>
      <c r="Q228" s="14">
        <f>IF(OR($P228="",$M228=""),"",$P228*$M228)</f>
        <v/>
      </c>
      <c r="R228" s="11" t="n"/>
      <c r="S228" s="13" t="n"/>
      <c r="T228" s="14">
        <f>IF($Q228="","",$Q228+ROW()/1000000)</f>
        <v/>
      </c>
    </row>
    <row r="229">
      <c r="A229" s="11" t="n"/>
      <c r="B229" s="11" t="n"/>
      <c r="C229" s="11" t="n"/>
      <c r="D229" s="13" t="n"/>
      <c r="E229" s="11" t="n"/>
      <c r="F229" s="11" t="n"/>
      <c r="G229" s="11" t="n"/>
      <c r="H229" s="11" t="n"/>
      <c r="I229" s="11" t="n"/>
      <c r="J229" s="11" t="n"/>
      <c r="K229" s="11" t="n"/>
      <c r="L229" s="14">
        <f>IF($C229="","",IFERROR(VLOOKUP($C229,Setup!$A$17:$B$22,2,FALSE),1))</f>
        <v/>
      </c>
      <c r="M229" s="14">
        <f>IF($K229="",$L229,$K229)</f>
        <v/>
      </c>
      <c r="N229" s="14">
        <f>IF(OR($E229="",$F229=""),"",1-(1-$E229)^$F229)</f>
        <v/>
      </c>
      <c r="O229" s="14">
        <f>IF(OR($N229="",$G229=""),"",$N229*$G229)</f>
        <v/>
      </c>
      <c r="P229" s="14">
        <f>IF(OR($O229="",$I229="",$J229="",$H229=""),"",$O229*$I229*$J229*(1-$H229))</f>
        <v/>
      </c>
      <c r="Q229" s="14">
        <f>IF(OR($P229="",$M229=""),"",$P229*$M229)</f>
        <v/>
      </c>
      <c r="R229" s="11" t="n"/>
      <c r="S229" s="13" t="n"/>
      <c r="T229" s="14">
        <f>IF($Q229="","",$Q229+ROW()/1000000)</f>
        <v/>
      </c>
    </row>
    <row r="230">
      <c r="A230" s="11" t="n"/>
      <c r="B230" s="11" t="n"/>
      <c r="C230" s="11" t="n"/>
      <c r="D230" s="13" t="n"/>
      <c r="E230" s="11" t="n"/>
      <c r="F230" s="11" t="n"/>
      <c r="G230" s="11" t="n"/>
      <c r="H230" s="11" t="n"/>
      <c r="I230" s="11" t="n"/>
      <c r="J230" s="11" t="n"/>
      <c r="K230" s="11" t="n"/>
      <c r="L230" s="14">
        <f>IF($C230="","",IFERROR(VLOOKUP($C230,Setup!$A$17:$B$22,2,FALSE),1))</f>
        <v/>
      </c>
      <c r="M230" s="14">
        <f>IF($K230="",$L230,$K230)</f>
        <v/>
      </c>
      <c r="N230" s="14">
        <f>IF(OR($E230="",$F230=""),"",1-(1-$E230)^$F230)</f>
        <v/>
      </c>
      <c r="O230" s="14">
        <f>IF(OR($N230="",$G230=""),"",$N230*$G230)</f>
        <v/>
      </c>
      <c r="P230" s="14">
        <f>IF(OR($O230="",$I230="",$J230="",$H230=""),"",$O230*$I230*$J230*(1-$H230))</f>
        <v/>
      </c>
      <c r="Q230" s="14">
        <f>IF(OR($P230="",$M230=""),"",$P230*$M230)</f>
        <v/>
      </c>
      <c r="R230" s="11" t="n"/>
      <c r="S230" s="13" t="n"/>
      <c r="T230" s="14">
        <f>IF($Q230="","",$Q230+ROW()/1000000)</f>
        <v/>
      </c>
    </row>
    <row r="231">
      <c r="A231" s="11" t="n"/>
      <c r="B231" s="11" t="n"/>
      <c r="C231" s="11" t="n"/>
      <c r="D231" s="13" t="n"/>
      <c r="E231" s="11" t="n"/>
      <c r="F231" s="11" t="n"/>
      <c r="G231" s="11" t="n"/>
      <c r="H231" s="11" t="n"/>
      <c r="I231" s="11" t="n"/>
      <c r="J231" s="11" t="n"/>
      <c r="K231" s="11" t="n"/>
      <c r="L231" s="14">
        <f>IF($C231="","",IFERROR(VLOOKUP($C231,Setup!$A$17:$B$22,2,FALSE),1))</f>
        <v/>
      </c>
      <c r="M231" s="14">
        <f>IF($K231="",$L231,$K231)</f>
        <v/>
      </c>
      <c r="N231" s="14">
        <f>IF(OR($E231="",$F231=""),"",1-(1-$E231)^$F231)</f>
        <v/>
      </c>
      <c r="O231" s="14">
        <f>IF(OR($N231="",$G231=""),"",$N231*$G231)</f>
        <v/>
      </c>
      <c r="P231" s="14">
        <f>IF(OR($O231="",$I231="",$J231="",$H231=""),"",$O231*$I231*$J231*(1-$H231))</f>
        <v/>
      </c>
      <c r="Q231" s="14">
        <f>IF(OR($P231="",$M231=""),"",$P231*$M231)</f>
        <v/>
      </c>
      <c r="R231" s="11" t="n"/>
      <c r="S231" s="13" t="n"/>
      <c r="T231" s="14">
        <f>IF($Q231="","",$Q231+ROW()/1000000)</f>
        <v/>
      </c>
    </row>
    <row r="232">
      <c r="A232" s="11" t="n"/>
      <c r="B232" s="11" t="n"/>
      <c r="C232" s="11" t="n"/>
      <c r="D232" s="13" t="n"/>
      <c r="E232" s="11" t="n"/>
      <c r="F232" s="11" t="n"/>
      <c r="G232" s="11" t="n"/>
      <c r="H232" s="11" t="n"/>
      <c r="I232" s="11" t="n"/>
      <c r="J232" s="11" t="n"/>
      <c r="K232" s="11" t="n"/>
      <c r="L232" s="14">
        <f>IF($C232="","",IFERROR(VLOOKUP($C232,Setup!$A$17:$B$22,2,FALSE),1))</f>
        <v/>
      </c>
      <c r="M232" s="14">
        <f>IF($K232="",$L232,$K232)</f>
        <v/>
      </c>
      <c r="N232" s="14">
        <f>IF(OR($E232="",$F232=""),"",1-(1-$E232)^$F232)</f>
        <v/>
      </c>
      <c r="O232" s="14">
        <f>IF(OR($N232="",$G232=""),"",$N232*$G232)</f>
        <v/>
      </c>
      <c r="P232" s="14">
        <f>IF(OR($O232="",$I232="",$J232="",$H232=""),"",$O232*$I232*$J232*(1-$H232))</f>
        <v/>
      </c>
      <c r="Q232" s="14">
        <f>IF(OR($P232="",$M232=""),"",$P232*$M232)</f>
        <v/>
      </c>
      <c r="R232" s="11" t="n"/>
      <c r="S232" s="13" t="n"/>
      <c r="T232" s="14">
        <f>IF($Q232="","",$Q232+ROW()/1000000)</f>
        <v/>
      </c>
    </row>
    <row r="233">
      <c r="A233" s="11" t="n"/>
      <c r="B233" s="11" t="n"/>
      <c r="C233" s="11" t="n"/>
      <c r="D233" s="13" t="n"/>
      <c r="E233" s="11" t="n"/>
      <c r="F233" s="11" t="n"/>
      <c r="G233" s="11" t="n"/>
      <c r="H233" s="11" t="n"/>
      <c r="I233" s="11" t="n"/>
      <c r="J233" s="11" t="n"/>
      <c r="K233" s="11" t="n"/>
      <c r="L233" s="14">
        <f>IF($C233="","",IFERROR(VLOOKUP($C233,Setup!$A$17:$B$22,2,FALSE),1))</f>
        <v/>
      </c>
      <c r="M233" s="14">
        <f>IF($K233="",$L233,$K233)</f>
        <v/>
      </c>
      <c r="N233" s="14">
        <f>IF(OR($E233="",$F233=""),"",1-(1-$E233)^$F233)</f>
        <v/>
      </c>
      <c r="O233" s="14">
        <f>IF(OR($N233="",$G233=""),"",$N233*$G233)</f>
        <v/>
      </c>
      <c r="P233" s="14">
        <f>IF(OR($O233="",$I233="",$J233="",$H233=""),"",$O233*$I233*$J233*(1-$H233))</f>
        <v/>
      </c>
      <c r="Q233" s="14">
        <f>IF(OR($P233="",$M233=""),"",$P233*$M233)</f>
        <v/>
      </c>
      <c r="R233" s="11" t="n"/>
      <c r="S233" s="13" t="n"/>
      <c r="T233" s="14">
        <f>IF($Q233="","",$Q233+ROW()/1000000)</f>
        <v/>
      </c>
    </row>
    <row r="234">
      <c r="A234" s="11" t="n"/>
      <c r="B234" s="11" t="n"/>
      <c r="C234" s="11" t="n"/>
      <c r="D234" s="13" t="n"/>
      <c r="E234" s="11" t="n"/>
      <c r="F234" s="11" t="n"/>
      <c r="G234" s="11" t="n"/>
      <c r="H234" s="11" t="n"/>
      <c r="I234" s="11" t="n"/>
      <c r="J234" s="11" t="n"/>
      <c r="K234" s="11" t="n"/>
      <c r="L234" s="14">
        <f>IF($C234="","",IFERROR(VLOOKUP($C234,Setup!$A$17:$B$22,2,FALSE),1))</f>
        <v/>
      </c>
      <c r="M234" s="14">
        <f>IF($K234="",$L234,$K234)</f>
        <v/>
      </c>
      <c r="N234" s="14">
        <f>IF(OR($E234="",$F234=""),"",1-(1-$E234)^$F234)</f>
        <v/>
      </c>
      <c r="O234" s="14">
        <f>IF(OR($N234="",$G234=""),"",$N234*$G234)</f>
        <v/>
      </c>
      <c r="P234" s="14">
        <f>IF(OR($O234="",$I234="",$J234="",$H234=""),"",$O234*$I234*$J234*(1-$H234))</f>
        <v/>
      </c>
      <c r="Q234" s="14">
        <f>IF(OR($P234="",$M234=""),"",$P234*$M234)</f>
        <v/>
      </c>
      <c r="R234" s="11" t="n"/>
      <c r="S234" s="13" t="n"/>
      <c r="T234" s="14">
        <f>IF($Q234="","",$Q234+ROW()/1000000)</f>
        <v/>
      </c>
    </row>
    <row r="235">
      <c r="A235" s="11" t="n"/>
      <c r="B235" s="11" t="n"/>
      <c r="C235" s="11" t="n"/>
      <c r="D235" s="13" t="n"/>
      <c r="E235" s="11" t="n"/>
      <c r="F235" s="11" t="n"/>
      <c r="G235" s="11" t="n"/>
      <c r="H235" s="11" t="n"/>
      <c r="I235" s="11" t="n"/>
      <c r="J235" s="11" t="n"/>
      <c r="K235" s="11" t="n"/>
      <c r="L235" s="14">
        <f>IF($C235="","",IFERROR(VLOOKUP($C235,Setup!$A$17:$B$22,2,FALSE),1))</f>
        <v/>
      </c>
      <c r="M235" s="14">
        <f>IF($K235="",$L235,$K235)</f>
        <v/>
      </c>
      <c r="N235" s="14">
        <f>IF(OR($E235="",$F235=""),"",1-(1-$E235)^$F235)</f>
        <v/>
      </c>
      <c r="O235" s="14">
        <f>IF(OR($N235="",$G235=""),"",$N235*$G235)</f>
        <v/>
      </c>
      <c r="P235" s="14">
        <f>IF(OR($O235="",$I235="",$J235="",$H235=""),"",$O235*$I235*$J235*(1-$H235))</f>
        <v/>
      </c>
      <c r="Q235" s="14">
        <f>IF(OR($P235="",$M235=""),"",$P235*$M235)</f>
        <v/>
      </c>
      <c r="R235" s="11" t="n"/>
      <c r="S235" s="13" t="n"/>
      <c r="T235" s="14">
        <f>IF($Q235="","",$Q235+ROW()/1000000)</f>
        <v/>
      </c>
    </row>
    <row r="236">
      <c r="A236" s="11" t="n"/>
      <c r="B236" s="11" t="n"/>
      <c r="C236" s="11" t="n"/>
      <c r="D236" s="13" t="n"/>
      <c r="E236" s="11" t="n"/>
      <c r="F236" s="11" t="n"/>
      <c r="G236" s="11" t="n"/>
      <c r="H236" s="11" t="n"/>
      <c r="I236" s="11" t="n"/>
      <c r="J236" s="11" t="n"/>
      <c r="K236" s="11" t="n"/>
      <c r="L236" s="14">
        <f>IF($C236="","",IFERROR(VLOOKUP($C236,Setup!$A$17:$B$22,2,FALSE),1))</f>
        <v/>
      </c>
      <c r="M236" s="14">
        <f>IF($K236="",$L236,$K236)</f>
        <v/>
      </c>
      <c r="N236" s="14">
        <f>IF(OR($E236="",$F236=""),"",1-(1-$E236)^$F236)</f>
        <v/>
      </c>
      <c r="O236" s="14">
        <f>IF(OR($N236="",$G236=""),"",$N236*$G236)</f>
        <v/>
      </c>
      <c r="P236" s="14">
        <f>IF(OR($O236="",$I236="",$J236="",$H236=""),"",$O236*$I236*$J236*(1-$H236))</f>
        <v/>
      </c>
      <c r="Q236" s="14">
        <f>IF(OR($P236="",$M236=""),"",$P236*$M236)</f>
        <v/>
      </c>
      <c r="R236" s="11" t="n"/>
      <c r="S236" s="13" t="n"/>
      <c r="T236" s="14">
        <f>IF($Q236="","",$Q236+ROW()/1000000)</f>
        <v/>
      </c>
    </row>
    <row r="237">
      <c r="A237" s="11" t="n"/>
      <c r="B237" s="11" t="n"/>
      <c r="C237" s="11" t="n"/>
      <c r="D237" s="13" t="n"/>
      <c r="E237" s="11" t="n"/>
      <c r="F237" s="11" t="n"/>
      <c r="G237" s="11" t="n"/>
      <c r="H237" s="11" t="n"/>
      <c r="I237" s="11" t="n"/>
      <c r="J237" s="11" t="n"/>
      <c r="K237" s="11" t="n"/>
      <c r="L237" s="14">
        <f>IF($C237="","",IFERROR(VLOOKUP($C237,Setup!$A$17:$B$22,2,FALSE),1))</f>
        <v/>
      </c>
      <c r="M237" s="14">
        <f>IF($K237="",$L237,$K237)</f>
        <v/>
      </c>
      <c r="N237" s="14">
        <f>IF(OR($E237="",$F237=""),"",1-(1-$E237)^$F237)</f>
        <v/>
      </c>
      <c r="O237" s="14">
        <f>IF(OR($N237="",$G237=""),"",$N237*$G237)</f>
        <v/>
      </c>
      <c r="P237" s="14">
        <f>IF(OR($O237="",$I237="",$J237="",$H237=""),"",$O237*$I237*$J237*(1-$H237))</f>
        <v/>
      </c>
      <c r="Q237" s="14">
        <f>IF(OR($P237="",$M237=""),"",$P237*$M237)</f>
        <v/>
      </c>
      <c r="R237" s="11" t="n"/>
      <c r="S237" s="13" t="n"/>
      <c r="T237" s="14">
        <f>IF($Q237="","",$Q237+ROW()/1000000)</f>
        <v/>
      </c>
    </row>
    <row r="238">
      <c r="A238" s="11" t="n"/>
      <c r="B238" s="11" t="n"/>
      <c r="C238" s="11" t="n"/>
      <c r="D238" s="13" t="n"/>
      <c r="E238" s="11" t="n"/>
      <c r="F238" s="11" t="n"/>
      <c r="G238" s="11" t="n"/>
      <c r="H238" s="11" t="n"/>
      <c r="I238" s="11" t="n"/>
      <c r="J238" s="11" t="n"/>
      <c r="K238" s="11" t="n"/>
      <c r="L238" s="14">
        <f>IF($C238="","",IFERROR(VLOOKUP($C238,Setup!$A$17:$B$22,2,FALSE),1))</f>
        <v/>
      </c>
      <c r="M238" s="14">
        <f>IF($K238="",$L238,$K238)</f>
        <v/>
      </c>
      <c r="N238" s="14">
        <f>IF(OR($E238="",$F238=""),"",1-(1-$E238)^$F238)</f>
        <v/>
      </c>
      <c r="O238" s="14">
        <f>IF(OR($N238="",$G238=""),"",$N238*$G238)</f>
        <v/>
      </c>
      <c r="P238" s="14">
        <f>IF(OR($O238="",$I238="",$J238="",$H238=""),"",$O238*$I238*$J238*(1-$H238))</f>
        <v/>
      </c>
      <c r="Q238" s="14">
        <f>IF(OR($P238="",$M238=""),"",$P238*$M238)</f>
        <v/>
      </c>
      <c r="R238" s="11" t="n"/>
      <c r="S238" s="13" t="n"/>
      <c r="T238" s="14">
        <f>IF($Q238="","",$Q238+ROW()/1000000)</f>
        <v/>
      </c>
    </row>
    <row r="239">
      <c r="A239" s="11" t="n"/>
      <c r="B239" s="11" t="n"/>
      <c r="C239" s="11" t="n"/>
      <c r="D239" s="13" t="n"/>
      <c r="E239" s="11" t="n"/>
      <c r="F239" s="11" t="n"/>
      <c r="G239" s="11" t="n"/>
      <c r="H239" s="11" t="n"/>
      <c r="I239" s="11" t="n"/>
      <c r="J239" s="11" t="n"/>
      <c r="K239" s="11" t="n"/>
      <c r="L239" s="14">
        <f>IF($C239="","",IFERROR(VLOOKUP($C239,Setup!$A$17:$B$22,2,FALSE),1))</f>
        <v/>
      </c>
      <c r="M239" s="14">
        <f>IF($K239="",$L239,$K239)</f>
        <v/>
      </c>
      <c r="N239" s="14">
        <f>IF(OR($E239="",$F239=""),"",1-(1-$E239)^$F239)</f>
        <v/>
      </c>
      <c r="O239" s="14">
        <f>IF(OR($N239="",$G239=""),"",$N239*$G239)</f>
        <v/>
      </c>
      <c r="P239" s="14">
        <f>IF(OR($O239="",$I239="",$J239="",$H239=""),"",$O239*$I239*$J239*(1-$H239))</f>
        <v/>
      </c>
      <c r="Q239" s="14">
        <f>IF(OR($P239="",$M239=""),"",$P239*$M239)</f>
        <v/>
      </c>
      <c r="R239" s="11" t="n"/>
      <c r="S239" s="13" t="n"/>
      <c r="T239" s="14">
        <f>IF($Q239="","",$Q239+ROW()/1000000)</f>
        <v/>
      </c>
    </row>
    <row r="240">
      <c r="A240" s="11" t="n"/>
      <c r="B240" s="11" t="n"/>
      <c r="C240" s="11" t="n"/>
      <c r="D240" s="13" t="n"/>
      <c r="E240" s="11" t="n"/>
      <c r="F240" s="11" t="n"/>
      <c r="G240" s="11" t="n"/>
      <c r="H240" s="11" t="n"/>
      <c r="I240" s="11" t="n"/>
      <c r="J240" s="11" t="n"/>
      <c r="K240" s="11" t="n"/>
      <c r="L240" s="14">
        <f>IF($C240="","",IFERROR(VLOOKUP($C240,Setup!$A$17:$B$22,2,FALSE),1))</f>
        <v/>
      </c>
      <c r="M240" s="14">
        <f>IF($K240="",$L240,$K240)</f>
        <v/>
      </c>
      <c r="N240" s="14">
        <f>IF(OR($E240="",$F240=""),"",1-(1-$E240)^$F240)</f>
        <v/>
      </c>
      <c r="O240" s="14">
        <f>IF(OR($N240="",$G240=""),"",$N240*$G240)</f>
        <v/>
      </c>
      <c r="P240" s="14">
        <f>IF(OR($O240="",$I240="",$J240="",$H240=""),"",$O240*$I240*$J240*(1-$H240))</f>
        <v/>
      </c>
      <c r="Q240" s="14">
        <f>IF(OR($P240="",$M240=""),"",$P240*$M240)</f>
        <v/>
      </c>
      <c r="R240" s="11" t="n"/>
      <c r="S240" s="13" t="n"/>
      <c r="T240" s="14">
        <f>IF($Q240="","",$Q240+ROW()/1000000)</f>
        <v/>
      </c>
    </row>
    <row r="241">
      <c r="A241" s="11" t="n"/>
      <c r="B241" s="11" t="n"/>
      <c r="C241" s="11" t="n"/>
      <c r="D241" s="13" t="n"/>
      <c r="E241" s="11" t="n"/>
      <c r="F241" s="11" t="n"/>
      <c r="G241" s="11" t="n"/>
      <c r="H241" s="11" t="n"/>
      <c r="I241" s="11" t="n"/>
      <c r="J241" s="11" t="n"/>
      <c r="K241" s="11" t="n"/>
      <c r="L241" s="14">
        <f>IF($C241="","",IFERROR(VLOOKUP($C241,Setup!$A$17:$B$22,2,FALSE),1))</f>
        <v/>
      </c>
      <c r="M241" s="14">
        <f>IF($K241="",$L241,$K241)</f>
        <v/>
      </c>
      <c r="N241" s="14">
        <f>IF(OR($E241="",$F241=""),"",1-(1-$E241)^$F241)</f>
        <v/>
      </c>
      <c r="O241" s="14">
        <f>IF(OR($N241="",$G241=""),"",$N241*$G241)</f>
        <v/>
      </c>
      <c r="P241" s="14">
        <f>IF(OR($O241="",$I241="",$J241="",$H241=""),"",$O241*$I241*$J241*(1-$H241))</f>
        <v/>
      </c>
      <c r="Q241" s="14">
        <f>IF(OR($P241="",$M241=""),"",$P241*$M241)</f>
        <v/>
      </c>
      <c r="R241" s="11" t="n"/>
      <c r="S241" s="13" t="n"/>
      <c r="T241" s="14">
        <f>IF($Q241="","",$Q241+ROW()/1000000)</f>
        <v/>
      </c>
    </row>
    <row r="242">
      <c r="A242" s="11" t="n"/>
      <c r="B242" s="11" t="n"/>
      <c r="C242" s="11" t="n"/>
      <c r="D242" s="13" t="n"/>
      <c r="E242" s="11" t="n"/>
      <c r="F242" s="11" t="n"/>
      <c r="G242" s="11" t="n"/>
      <c r="H242" s="11" t="n"/>
      <c r="I242" s="11" t="n"/>
      <c r="J242" s="11" t="n"/>
      <c r="K242" s="11" t="n"/>
      <c r="L242" s="14">
        <f>IF($C242="","",IFERROR(VLOOKUP($C242,Setup!$A$17:$B$22,2,FALSE),1))</f>
        <v/>
      </c>
      <c r="M242" s="14">
        <f>IF($K242="",$L242,$K242)</f>
        <v/>
      </c>
      <c r="N242" s="14">
        <f>IF(OR($E242="",$F242=""),"",1-(1-$E242)^$F242)</f>
        <v/>
      </c>
      <c r="O242" s="14">
        <f>IF(OR($N242="",$G242=""),"",$N242*$G242)</f>
        <v/>
      </c>
      <c r="P242" s="14">
        <f>IF(OR($O242="",$I242="",$J242="",$H242=""),"",$O242*$I242*$J242*(1-$H242))</f>
        <v/>
      </c>
      <c r="Q242" s="14">
        <f>IF(OR($P242="",$M242=""),"",$P242*$M242)</f>
        <v/>
      </c>
      <c r="R242" s="11" t="n"/>
      <c r="S242" s="13" t="n"/>
      <c r="T242" s="14">
        <f>IF($Q242="","",$Q242+ROW()/1000000)</f>
        <v/>
      </c>
    </row>
    <row r="243">
      <c r="A243" s="11" t="n"/>
      <c r="B243" s="11" t="n"/>
      <c r="C243" s="11" t="n"/>
      <c r="D243" s="13" t="n"/>
      <c r="E243" s="11" t="n"/>
      <c r="F243" s="11" t="n"/>
      <c r="G243" s="11" t="n"/>
      <c r="H243" s="11" t="n"/>
      <c r="I243" s="11" t="n"/>
      <c r="J243" s="11" t="n"/>
      <c r="K243" s="11" t="n"/>
      <c r="L243" s="14">
        <f>IF($C243="","",IFERROR(VLOOKUP($C243,Setup!$A$17:$B$22,2,FALSE),1))</f>
        <v/>
      </c>
      <c r="M243" s="14">
        <f>IF($K243="",$L243,$K243)</f>
        <v/>
      </c>
      <c r="N243" s="14">
        <f>IF(OR($E243="",$F243=""),"",1-(1-$E243)^$F243)</f>
        <v/>
      </c>
      <c r="O243" s="14">
        <f>IF(OR($N243="",$G243=""),"",$N243*$G243)</f>
        <v/>
      </c>
      <c r="P243" s="14">
        <f>IF(OR($O243="",$I243="",$J243="",$H243=""),"",$O243*$I243*$J243*(1-$H243))</f>
        <v/>
      </c>
      <c r="Q243" s="14">
        <f>IF(OR($P243="",$M243=""),"",$P243*$M243)</f>
        <v/>
      </c>
      <c r="R243" s="11" t="n"/>
      <c r="S243" s="13" t="n"/>
      <c r="T243" s="14">
        <f>IF($Q243="","",$Q243+ROW()/1000000)</f>
        <v/>
      </c>
    </row>
    <row r="244">
      <c r="A244" s="11" t="n"/>
      <c r="B244" s="11" t="n"/>
      <c r="C244" s="11" t="n"/>
      <c r="D244" s="13" t="n"/>
      <c r="E244" s="11" t="n"/>
      <c r="F244" s="11" t="n"/>
      <c r="G244" s="11" t="n"/>
      <c r="H244" s="11" t="n"/>
      <c r="I244" s="11" t="n"/>
      <c r="J244" s="11" t="n"/>
      <c r="K244" s="11" t="n"/>
      <c r="L244" s="14">
        <f>IF($C244="","",IFERROR(VLOOKUP($C244,Setup!$A$17:$B$22,2,FALSE),1))</f>
        <v/>
      </c>
      <c r="M244" s="14">
        <f>IF($K244="",$L244,$K244)</f>
        <v/>
      </c>
      <c r="N244" s="14">
        <f>IF(OR($E244="",$F244=""),"",1-(1-$E244)^$F244)</f>
        <v/>
      </c>
      <c r="O244" s="14">
        <f>IF(OR($N244="",$G244=""),"",$N244*$G244)</f>
        <v/>
      </c>
      <c r="P244" s="14">
        <f>IF(OR($O244="",$I244="",$J244="",$H244=""),"",$O244*$I244*$J244*(1-$H244))</f>
        <v/>
      </c>
      <c r="Q244" s="14">
        <f>IF(OR($P244="",$M244=""),"",$P244*$M244)</f>
        <v/>
      </c>
      <c r="R244" s="11" t="n"/>
      <c r="S244" s="13" t="n"/>
      <c r="T244" s="14">
        <f>IF($Q244="","",$Q244+ROW()/1000000)</f>
        <v/>
      </c>
    </row>
    <row r="245">
      <c r="A245" s="11" t="n"/>
      <c r="B245" s="11" t="n"/>
      <c r="C245" s="11" t="n"/>
      <c r="D245" s="13" t="n"/>
      <c r="E245" s="11" t="n"/>
      <c r="F245" s="11" t="n"/>
      <c r="G245" s="11" t="n"/>
      <c r="H245" s="11" t="n"/>
      <c r="I245" s="11" t="n"/>
      <c r="J245" s="11" t="n"/>
      <c r="K245" s="11" t="n"/>
      <c r="L245" s="14">
        <f>IF($C245="","",IFERROR(VLOOKUP($C245,Setup!$A$17:$B$22,2,FALSE),1))</f>
        <v/>
      </c>
      <c r="M245" s="14">
        <f>IF($K245="",$L245,$K245)</f>
        <v/>
      </c>
      <c r="N245" s="14">
        <f>IF(OR($E245="",$F245=""),"",1-(1-$E245)^$F245)</f>
        <v/>
      </c>
      <c r="O245" s="14">
        <f>IF(OR($N245="",$G245=""),"",$N245*$G245)</f>
        <v/>
      </c>
      <c r="P245" s="14">
        <f>IF(OR($O245="",$I245="",$J245="",$H245=""),"",$O245*$I245*$J245*(1-$H245))</f>
        <v/>
      </c>
      <c r="Q245" s="14">
        <f>IF(OR($P245="",$M245=""),"",$P245*$M245)</f>
        <v/>
      </c>
      <c r="R245" s="11" t="n"/>
      <c r="S245" s="13" t="n"/>
      <c r="T245" s="14">
        <f>IF($Q245="","",$Q245+ROW()/1000000)</f>
        <v/>
      </c>
    </row>
    <row r="246">
      <c r="A246" s="11" t="n"/>
      <c r="B246" s="11" t="n"/>
      <c r="C246" s="11" t="n"/>
      <c r="D246" s="13" t="n"/>
      <c r="E246" s="11" t="n"/>
      <c r="F246" s="11" t="n"/>
      <c r="G246" s="11" t="n"/>
      <c r="H246" s="11" t="n"/>
      <c r="I246" s="11" t="n"/>
      <c r="J246" s="11" t="n"/>
      <c r="K246" s="11" t="n"/>
      <c r="L246" s="14">
        <f>IF($C246="","",IFERROR(VLOOKUP($C246,Setup!$A$17:$B$22,2,FALSE),1))</f>
        <v/>
      </c>
      <c r="M246" s="14">
        <f>IF($K246="",$L246,$K246)</f>
        <v/>
      </c>
      <c r="N246" s="14">
        <f>IF(OR($E246="",$F246=""),"",1-(1-$E246)^$F246)</f>
        <v/>
      </c>
      <c r="O246" s="14">
        <f>IF(OR($N246="",$G246=""),"",$N246*$G246)</f>
        <v/>
      </c>
      <c r="P246" s="14">
        <f>IF(OR($O246="",$I246="",$J246="",$H246=""),"",$O246*$I246*$J246*(1-$H246))</f>
        <v/>
      </c>
      <c r="Q246" s="14">
        <f>IF(OR($P246="",$M246=""),"",$P246*$M246)</f>
        <v/>
      </c>
      <c r="R246" s="11" t="n"/>
      <c r="S246" s="13" t="n"/>
      <c r="T246" s="14">
        <f>IF($Q246="","",$Q246+ROW()/1000000)</f>
        <v/>
      </c>
    </row>
    <row r="247">
      <c r="A247" s="11" t="n"/>
      <c r="B247" s="11" t="n"/>
      <c r="C247" s="11" t="n"/>
      <c r="D247" s="13" t="n"/>
      <c r="E247" s="11" t="n"/>
      <c r="F247" s="11" t="n"/>
      <c r="G247" s="11" t="n"/>
      <c r="H247" s="11" t="n"/>
      <c r="I247" s="11" t="n"/>
      <c r="J247" s="11" t="n"/>
      <c r="K247" s="11" t="n"/>
      <c r="L247" s="14">
        <f>IF($C247="","",IFERROR(VLOOKUP($C247,Setup!$A$17:$B$22,2,FALSE),1))</f>
        <v/>
      </c>
      <c r="M247" s="14">
        <f>IF($K247="",$L247,$K247)</f>
        <v/>
      </c>
      <c r="N247" s="14">
        <f>IF(OR($E247="",$F247=""),"",1-(1-$E247)^$F247)</f>
        <v/>
      </c>
      <c r="O247" s="14">
        <f>IF(OR($N247="",$G247=""),"",$N247*$G247)</f>
        <v/>
      </c>
      <c r="P247" s="14">
        <f>IF(OR($O247="",$I247="",$J247="",$H247=""),"",$O247*$I247*$J247*(1-$H247))</f>
        <v/>
      </c>
      <c r="Q247" s="14">
        <f>IF(OR($P247="",$M247=""),"",$P247*$M247)</f>
        <v/>
      </c>
      <c r="R247" s="11" t="n"/>
      <c r="S247" s="13" t="n"/>
      <c r="T247" s="14">
        <f>IF($Q247="","",$Q247+ROW()/1000000)</f>
        <v/>
      </c>
    </row>
    <row r="248">
      <c r="A248" s="11" t="n"/>
      <c r="B248" s="11" t="n"/>
      <c r="C248" s="11" t="n"/>
      <c r="D248" s="13" t="n"/>
      <c r="E248" s="11" t="n"/>
      <c r="F248" s="11" t="n"/>
      <c r="G248" s="11" t="n"/>
      <c r="H248" s="11" t="n"/>
      <c r="I248" s="11" t="n"/>
      <c r="J248" s="11" t="n"/>
      <c r="K248" s="11" t="n"/>
      <c r="L248" s="14">
        <f>IF($C248="","",IFERROR(VLOOKUP($C248,Setup!$A$17:$B$22,2,FALSE),1))</f>
        <v/>
      </c>
      <c r="M248" s="14">
        <f>IF($K248="",$L248,$K248)</f>
        <v/>
      </c>
      <c r="N248" s="14">
        <f>IF(OR($E248="",$F248=""),"",1-(1-$E248)^$F248)</f>
        <v/>
      </c>
      <c r="O248" s="14">
        <f>IF(OR($N248="",$G248=""),"",$N248*$G248)</f>
        <v/>
      </c>
      <c r="P248" s="14">
        <f>IF(OR($O248="",$I248="",$J248="",$H248=""),"",$O248*$I248*$J248*(1-$H248))</f>
        <v/>
      </c>
      <c r="Q248" s="14">
        <f>IF(OR($P248="",$M248=""),"",$P248*$M248)</f>
        <v/>
      </c>
      <c r="R248" s="11" t="n"/>
      <c r="S248" s="13" t="n"/>
      <c r="T248" s="14">
        <f>IF($Q248="","",$Q248+ROW()/1000000)</f>
        <v/>
      </c>
    </row>
    <row r="249">
      <c r="A249" s="11" t="n"/>
      <c r="B249" s="11" t="n"/>
      <c r="C249" s="11" t="n"/>
      <c r="D249" s="13" t="n"/>
      <c r="E249" s="11" t="n"/>
      <c r="F249" s="11" t="n"/>
      <c r="G249" s="11" t="n"/>
      <c r="H249" s="11" t="n"/>
      <c r="I249" s="11" t="n"/>
      <c r="J249" s="11" t="n"/>
      <c r="K249" s="11" t="n"/>
      <c r="L249" s="14">
        <f>IF($C249="","",IFERROR(VLOOKUP($C249,Setup!$A$17:$B$22,2,FALSE),1))</f>
        <v/>
      </c>
      <c r="M249" s="14">
        <f>IF($K249="",$L249,$K249)</f>
        <v/>
      </c>
      <c r="N249" s="14">
        <f>IF(OR($E249="",$F249=""),"",1-(1-$E249)^$F249)</f>
        <v/>
      </c>
      <c r="O249" s="14">
        <f>IF(OR($N249="",$G249=""),"",$N249*$G249)</f>
        <v/>
      </c>
      <c r="P249" s="14">
        <f>IF(OR($O249="",$I249="",$J249="",$H249=""),"",$O249*$I249*$J249*(1-$H249))</f>
        <v/>
      </c>
      <c r="Q249" s="14">
        <f>IF(OR($P249="",$M249=""),"",$P249*$M249)</f>
        <v/>
      </c>
      <c r="R249" s="11" t="n"/>
      <c r="S249" s="13" t="n"/>
      <c r="T249" s="14">
        <f>IF($Q249="","",$Q249+ROW()/1000000)</f>
        <v/>
      </c>
    </row>
    <row r="250">
      <c r="A250" s="11" t="n"/>
      <c r="B250" s="11" t="n"/>
      <c r="C250" s="11" t="n"/>
      <c r="D250" s="13" t="n"/>
      <c r="E250" s="11" t="n"/>
      <c r="F250" s="11" t="n"/>
      <c r="G250" s="11" t="n"/>
      <c r="H250" s="11" t="n"/>
      <c r="I250" s="11" t="n"/>
      <c r="J250" s="11" t="n"/>
      <c r="K250" s="11" t="n"/>
      <c r="L250" s="14">
        <f>IF($C250="","",IFERROR(VLOOKUP($C250,Setup!$A$17:$B$22,2,FALSE),1))</f>
        <v/>
      </c>
      <c r="M250" s="14">
        <f>IF($K250="",$L250,$K250)</f>
        <v/>
      </c>
      <c r="N250" s="14">
        <f>IF(OR($E250="",$F250=""),"",1-(1-$E250)^$F250)</f>
        <v/>
      </c>
      <c r="O250" s="14">
        <f>IF(OR($N250="",$G250=""),"",$N250*$G250)</f>
        <v/>
      </c>
      <c r="P250" s="14">
        <f>IF(OR($O250="",$I250="",$J250="",$H250=""),"",$O250*$I250*$J250*(1-$H250))</f>
        <v/>
      </c>
      <c r="Q250" s="14">
        <f>IF(OR($P250="",$M250=""),"",$P250*$M250)</f>
        <v/>
      </c>
      <c r="R250" s="11" t="n"/>
      <c r="S250" s="13" t="n"/>
      <c r="T250" s="14">
        <f>IF($Q250="","",$Q250+ROW()/1000000)</f>
        <v/>
      </c>
    </row>
    <row r="251">
      <c r="A251" s="11" t="n"/>
      <c r="B251" s="11" t="n"/>
      <c r="C251" s="11" t="n"/>
      <c r="D251" s="13" t="n"/>
      <c r="E251" s="11" t="n"/>
      <c r="F251" s="11" t="n"/>
      <c r="G251" s="11" t="n"/>
      <c r="H251" s="11" t="n"/>
      <c r="I251" s="11" t="n"/>
      <c r="J251" s="11" t="n"/>
      <c r="K251" s="11" t="n"/>
      <c r="L251" s="14">
        <f>IF($C251="","",IFERROR(VLOOKUP($C251,Setup!$A$17:$B$22,2,FALSE),1))</f>
        <v/>
      </c>
      <c r="M251" s="14">
        <f>IF($K251="",$L251,$K251)</f>
        <v/>
      </c>
      <c r="N251" s="14">
        <f>IF(OR($E251="",$F251=""),"",1-(1-$E251)^$F251)</f>
        <v/>
      </c>
      <c r="O251" s="14">
        <f>IF(OR($N251="",$G251=""),"",$N251*$G251)</f>
        <v/>
      </c>
      <c r="P251" s="14">
        <f>IF(OR($O251="",$I251="",$J251="",$H251=""),"",$O251*$I251*$J251*(1-$H251))</f>
        <v/>
      </c>
      <c r="Q251" s="14">
        <f>IF(OR($P251="",$M251=""),"",$P251*$M251)</f>
        <v/>
      </c>
      <c r="R251" s="11" t="n"/>
      <c r="S251" s="13" t="n"/>
      <c r="T251" s="14">
        <f>IF($Q251="","",$Q251+ROW()/1000000)</f>
        <v/>
      </c>
    </row>
    <row r="252">
      <c r="A252" s="11" t="n"/>
      <c r="B252" s="11" t="n"/>
      <c r="C252" s="11" t="n"/>
      <c r="D252" s="13" t="n"/>
      <c r="E252" s="11" t="n"/>
      <c r="F252" s="11" t="n"/>
      <c r="G252" s="11" t="n"/>
      <c r="H252" s="11" t="n"/>
      <c r="I252" s="11" t="n"/>
      <c r="J252" s="11" t="n"/>
      <c r="K252" s="11" t="n"/>
      <c r="L252" s="14">
        <f>IF($C252="","",IFERROR(VLOOKUP($C252,Setup!$A$17:$B$22,2,FALSE),1))</f>
        <v/>
      </c>
      <c r="M252" s="14">
        <f>IF($K252="",$L252,$K252)</f>
        <v/>
      </c>
      <c r="N252" s="14">
        <f>IF(OR($E252="",$F252=""),"",1-(1-$E252)^$F252)</f>
        <v/>
      </c>
      <c r="O252" s="14">
        <f>IF(OR($N252="",$G252=""),"",$N252*$G252)</f>
        <v/>
      </c>
      <c r="P252" s="14">
        <f>IF(OR($O252="",$I252="",$J252="",$H252=""),"",$O252*$I252*$J252*(1-$H252))</f>
        <v/>
      </c>
      <c r="Q252" s="14">
        <f>IF(OR($P252="",$M252=""),"",$P252*$M252)</f>
        <v/>
      </c>
      <c r="R252" s="11" t="n"/>
      <c r="S252" s="13" t="n"/>
      <c r="T252" s="14">
        <f>IF($Q252="","",$Q252+ROW()/1000000)</f>
        <v/>
      </c>
    </row>
    <row r="253">
      <c r="A253" s="11" t="n"/>
      <c r="B253" s="11" t="n"/>
      <c r="C253" s="11" t="n"/>
      <c r="D253" s="13" t="n"/>
      <c r="E253" s="11" t="n"/>
      <c r="F253" s="11" t="n"/>
      <c r="G253" s="11" t="n"/>
      <c r="H253" s="11" t="n"/>
      <c r="I253" s="11" t="n"/>
      <c r="J253" s="11" t="n"/>
      <c r="K253" s="11" t="n"/>
      <c r="L253" s="14">
        <f>IF($C253="","",IFERROR(VLOOKUP($C253,Setup!$A$17:$B$22,2,FALSE),1))</f>
        <v/>
      </c>
      <c r="M253" s="14">
        <f>IF($K253="",$L253,$K253)</f>
        <v/>
      </c>
      <c r="N253" s="14">
        <f>IF(OR($E253="",$F253=""),"",1-(1-$E253)^$F253)</f>
        <v/>
      </c>
      <c r="O253" s="14">
        <f>IF(OR($N253="",$G253=""),"",$N253*$G253)</f>
        <v/>
      </c>
      <c r="P253" s="14">
        <f>IF(OR($O253="",$I253="",$J253="",$H253=""),"",$O253*$I253*$J253*(1-$H253))</f>
        <v/>
      </c>
      <c r="Q253" s="14">
        <f>IF(OR($P253="",$M253=""),"",$P253*$M253)</f>
        <v/>
      </c>
      <c r="R253" s="11" t="n"/>
      <c r="S253" s="13" t="n"/>
      <c r="T253" s="14">
        <f>IF($Q253="","",$Q253+ROW()/1000000)</f>
        <v/>
      </c>
    </row>
    <row r="254">
      <c r="A254" s="11" t="n"/>
      <c r="B254" s="11" t="n"/>
      <c r="C254" s="11" t="n"/>
      <c r="D254" s="13" t="n"/>
      <c r="E254" s="11" t="n"/>
      <c r="F254" s="11" t="n"/>
      <c r="G254" s="11" t="n"/>
      <c r="H254" s="11" t="n"/>
      <c r="I254" s="11" t="n"/>
      <c r="J254" s="11" t="n"/>
      <c r="K254" s="11" t="n"/>
      <c r="L254" s="14">
        <f>IF($C254="","",IFERROR(VLOOKUP($C254,Setup!$A$17:$B$22,2,FALSE),1))</f>
        <v/>
      </c>
      <c r="M254" s="14">
        <f>IF($K254="",$L254,$K254)</f>
        <v/>
      </c>
      <c r="N254" s="14">
        <f>IF(OR($E254="",$F254=""),"",1-(1-$E254)^$F254)</f>
        <v/>
      </c>
      <c r="O254" s="14">
        <f>IF(OR($N254="",$G254=""),"",$N254*$G254)</f>
        <v/>
      </c>
      <c r="P254" s="14">
        <f>IF(OR($O254="",$I254="",$J254="",$H254=""),"",$O254*$I254*$J254*(1-$H254))</f>
        <v/>
      </c>
      <c r="Q254" s="14">
        <f>IF(OR($P254="",$M254=""),"",$P254*$M254)</f>
        <v/>
      </c>
      <c r="R254" s="11" t="n"/>
      <c r="S254" s="13" t="n"/>
      <c r="T254" s="14">
        <f>IF($Q254="","",$Q254+ROW()/1000000)</f>
        <v/>
      </c>
    </row>
    <row r="255">
      <c r="A255" s="11" t="n"/>
      <c r="B255" s="11" t="n"/>
      <c r="C255" s="11" t="n"/>
      <c r="D255" s="13" t="n"/>
      <c r="E255" s="11" t="n"/>
      <c r="F255" s="11" t="n"/>
      <c r="G255" s="11" t="n"/>
      <c r="H255" s="11" t="n"/>
      <c r="I255" s="11" t="n"/>
      <c r="J255" s="11" t="n"/>
      <c r="K255" s="11" t="n"/>
      <c r="L255" s="14">
        <f>IF($C255="","",IFERROR(VLOOKUP($C255,Setup!$A$17:$B$22,2,FALSE),1))</f>
        <v/>
      </c>
      <c r="M255" s="14">
        <f>IF($K255="",$L255,$K255)</f>
        <v/>
      </c>
      <c r="N255" s="14">
        <f>IF(OR($E255="",$F255=""),"",1-(1-$E255)^$F255)</f>
        <v/>
      </c>
      <c r="O255" s="14">
        <f>IF(OR($N255="",$G255=""),"",$N255*$G255)</f>
        <v/>
      </c>
      <c r="P255" s="14">
        <f>IF(OR($O255="",$I255="",$J255="",$H255=""),"",$O255*$I255*$J255*(1-$H255))</f>
        <v/>
      </c>
      <c r="Q255" s="14">
        <f>IF(OR($P255="",$M255=""),"",$P255*$M255)</f>
        <v/>
      </c>
      <c r="R255" s="11" t="n"/>
      <c r="S255" s="13" t="n"/>
      <c r="T255" s="14">
        <f>IF($Q255="","",$Q255+ROW()/1000000)</f>
        <v/>
      </c>
    </row>
    <row r="256">
      <c r="A256" s="11" t="n"/>
      <c r="B256" s="11" t="n"/>
      <c r="C256" s="11" t="n"/>
      <c r="D256" s="13" t="n"/>
      <c r="E256" s="11" t="n"/>
      <c r="F256" s="11" t="n"/>
      <c r="G256" s="11" t="n"/>
      <c r="H256" s="11" t="n"/>
      <c r="I256" s="11" t="n"/>
      <c r="J256" s="11" t="n"/>
      <c r="K256" s="11" t="n"/>
      <c r="L256" s="14">
        <f>IF($C256="","",IFERROR(VLOOKUP($C256,Setup!$A$17:$B$22,2,FALSE),1))</f>
        <v/>
      </c>
      <c r="M256" s="14">
        <f>IF($K256="",$L256,$K256)</f>
        <v/>
      </c>
      <c r="N256" s="14">
        <f>IF(OR($E256="",$F256=""),"",1-(1-$E256)^$F256)</f>
        <v/>
      </c>
      <c r="O256" s="14">
        <f>IF(OR($N256="",$G256=""),"",$N256*$G256)</f>
        <v/>
      </c>
      <c r="P256" s="14">
        <f>IF(OR($O256="",$I256="",$J256="",$H256=""),"",$O256*$I256*$J256*(1-$H256))</f>
        <v/>
      </c>
      <c r="Q256" s="14">
        <f>IF(OR($P256="",$M256=""),"",$P256*$M256)</f>
        <v/>
      </c>
      <c r="R256" s="11" t="n"/>
      <c r="S256" s="13" t="n"/>
      <c r="T256" s="14">
        <f>IF($Q256="","",$Q256+ROW()/1000000)</f>
        <v/>
      </c>
    </row>
    <row r="257">
      <c r="A257" s="11" t="n"/>
      <c r="B257" s="11" t="n"/>
      <c r="C257" s="11" t="n"/>
      <c r="D257" s="13" t="n"/>
      <c r="E257" s="11" t="n"/>
      <c r="F257" s="11" t="n"/>
      <c r="G257" s="11" t="n"/>
      <c r="H257" s="11" t="n"/>
      <c r="I257" s="11" t="n"/>
      <c r="J257" s="11" t="n"/>
      <c r="K257" s="11" t="n"/>
      <c r="L257" s="14">
        <f>IF($C257="","",IFERROR(VLOOKUP($C257,Setup!$A$17:$B$22,2,FALSE),1))</f>
        <v/>
      </c>
      <c r="M257" s="14">
        <f>IF($K257="",$L257,$K257)</f>
        <v/>
      </c>
      <c r="N257" s="14">
        <f>IF(OR($E257="",$F257=""),"",1-(1-$E257)^$F257)</f>
        <v/>
      </c>
      <c r="O257" s="14">
        <f>IF(OR($N257="",$G257=""),"",$N257*$G257)</f>
        <v/>
      </c>
      <c r="P257" s="14">
        <f>IF(OR($O257="",$I257="",$J257="",$H257=""),"",$O257*$I257*$J257*(1-$H257))</f>
        <v/>
      </c>
      <c r="Q257" s="14">
        <f>IF(OR($P257="",$M257=""),"",$P257*$M257)</f>
        <v/>
      </c>
      <c r="R257" s="11" t="n"/>
      <c r="S257" s="13" t="n"/>
      <c r="T257" s="14">
        <f>IF($Q257="","",$Q257+ROW()/1000000)</f>
        <v/>
      </c>
    </row>
    <row r="258">
      <c r="A258" s="11" t="n"/>
      <c r="B258" s="11" t="n"/>
      <c r="C258" s="11" t="n"/>
      <c r="D258" s="13" t="n"/>
      <c r="E258" s="11" t="n"/>
      <c r="F258" s="11" t="n"/>
      <c r="G258" s="11" t="n"/>
      <c r="H258" s="11" t="n"/>
      <c r="I258" s="11" t="n"/>
      <c r="J258" s="11" t="n"/>
      <c r="K258" s="11" t="n"/>
      <c r="L258" s="14">
        <f>IF($C258="","",IFERROR(VLOOKUP($C258,Setup!$A$17:$B$22,2,FALSE),1))</f>
        <v/>
      </c>
      <c r="M258" s="14">
        <f>IF($K258="",$L258,$K258)</f>
        <v/>
      </c>
      <c r="N258" s="14">
        <f>IF(OR($E258="",$F258=""),"",1-(1-$E258)^$F258)</f>
        <v/>
      </c>
      <c r="O258" s="14">
        <f>IF(OR($N258="",$G258=""),"",$N258*$G258)</f>
        <v/>
      </c>
      <c r="P258" s="14">
        <f>IF(OR($O258="",$I258="",$J258="",$H258=""),"",$O258*$I258*$J258*(1-$H258))</f>
        <v/>
      </c>
      <c r="Q258" s="14">
        <f>IF(OR($P258="",$M258=""),"",$P258*$M258)</f>
        <v/>
      </c>
      <c r="R258" s="11" t="n"/>
      <c r="S258" s="13" t="n"/>
      <c r="T258" s="14">
        <f>IF($Q258="","",$Q258+ROW()/1000000)</f>
        <v/>
      </c>
    </row>
    <row r="259">
      <c r="A259" s="11" t="n"/>
      <c r="B259" s="11" t="n"/>
      <c r="C259" s="11" t="n"/>
      <c r="D259" s="13" t="n"/>
      <c r="E259" s="11" t="n"/>
      <c r="F259" s="11" t="n"/>
      <c r="G259" s="11" t="n"/>
      <c r="H259" s="11" t="n"/>
      <c r="I259" s="11" t="n"/>
      <c r="J259" s="11" t="n"/>
      <c r="K259" s="11" t="n"/>
      <c r="L259" s="14">
        <f>IF($C259="","",IFERROR(VLOOKUP($C259,Setup!$A$17:$B$22,2,FALSE),1))</f>
        <v/>
      </c>
      <c r="M259" s="14">
        <f>IF($K259="",$L259,$K259)</f>
        <v/>
      </c>
      <c r="N259" s="14">
        <f>IF(OR($E259="",$F259=""),"",1-(1-$E259)^$F259)</f>
        <v/>
      </c>
      <c r="O259" s="14">
        <f>IF(OR($N259="",$G259=""),"",$N259*$G259)</f>
        <v/>
      </c>
      <c r="P259" s="14">
        <f>IF(OR($O259="",$I259="",$J259="",$H259=""),"",$O259*$I259*$J259*(1-$H259))</f>
        <v/>
      </c>
      <c r="Q259" s="14">
        <f>IF(OR($P259="",$M259=""),"",$P259*$M259)</f>
        <v/>
      </c>
      <c r="R259" s="11" t="n"/>
      <c r="S259" s="13" t="n"/>
      <c r="T259" s="14">
        <f>IF($Q259="","",$Q259+ROW()/1000000)</f>
        <v/>
      </c>
    </row>
    <row r="260">
      <c r="A260" s="11" t="n"/>
      <c r="B260" s="11" t="n"/>
      <c r="C260" s="11" t="n"/>
      <c r="D260" s="13" t="n"/>
      <c r="E260" s="11" t="n"/>
      <c r="F260" s="11" t="n"/>
      <c r="G260" s="11" t="n"/>
      <c r="H260" s="11" t="n"/>
      <c r="I260" s="11" t="n"/>
      <c r="J260" s="11" t="n"/>
      <c r="K260" s="11" t="n"/>
      <c r="L260" s="14">
        <f>IF($C260="","",IFERROR(VLOOKUP($C260,Setup!$A$17:$B$22,2,FALSE),1))</f>
        <v/>
      </c>
      <c r="M260" s="14">
        <f>IF($K260="",$L260,$K260)</f>
        <v/>
      </c>
      <c r="N260" s="14">
        <f>IF(OR($E260="",$F260=""),"",1-(1-$E260)^$F260)</f>
        <v/>
      </c>
      <c r="O260" s="14">
        <f>IF(OR($N260="",$G260=""),"",$N260*$G260)</f>
        <v/>
      </c>
      <c r="P260" s="14">
        <f>IF(OR($O260="",$I260="",$J260="",$H260=""),"",$O260*$I260*$J260*(1-$H260))</f>
        <v/>
      </c>
      <c r="Q260" s="14">
        <f>IF(OR($P260="",$M260=""),"",$P260*$M260)</f>
        <v/>
      </c>
      <c r="R260" s="11" t="n"/>
      <c r="S260" s="13" t="n"/>
      <c r="T260" s="14">
        <f>IF($Q260="","",$Q260+ROW()/1000000)</f>
        <v/>
      </c>
    </row>
    <row r="261">
      <c r="A261" s="11" t="n"/>
      <c r="B261" s="11" t="n"/>
      <c r="C261" s="11" t="n"/>
      <c r="D261" s="13" t="n"/>
      <c r="E261" s="11" t="n"/>
      <c r="F261" s="11" t="n"/>
      <c r="G261" s="11" t="n"/>
      <c r="H261" s="11" t="n"/>
      <c r="I261" s="11" t="n"/>
      <c r="J261" s="11" t="n"/>
      <c r="K261" s="11" t="n"/>
      <c r="L261" s="14">
        <f>IF($C261="","",IFERROR(VLOOKUP($C261,Setup!$A$17:$B$22,2,FALSE),1))</f>
        <v/>
      </c>
      <c r="M261" s="14">
        <f>IF($K261="",$L261,$K261)</f>
        <v/>
      </c>
      <c r="N261" s="14">
        <f>IF(OR($E261="",$F261=""),"",1-(1-$E261)^$F261)</f>
        <v/>
      </c>
      <c r="O261" s="14">
        <f>IF(OR($N261="",$G261=""),"",$N261*$G261)</f>
        <v/>
      </c>
      <c r="P261" s="14">
        <f>IF(OR($O261="",$I261="",$J261="",$H261=""),"",$O261*$I261*$J261*(1-$H261))</f>
        <v/>
      </c>
      <c r="Q261" s="14">
        <f>IF(OR($P261="",$M261=""),"",$P261*$M261)</f>
        <v/>
      </c>
      <c r="R261" s="11" t="n"/>
      <c r="S261" s="13" t="n"/>
      <c r="T261" s="14">
        <f>IF($Q261="","",$Q261+ROW()/1000000)</f>
        <v/>
      </c>
    </row>
    <row r="262">
      <c r="A262" s="11" t="n"/>
      <c r="B262" s="11" t="n"/>
      <c r="C262" s="11" t="n"/>
      <c r="D262" s="13" t="n"/>
      <c r="E262" s="11" t="n"/>
      <c r="F262" s="11" t="n"/>
      <c r="G262" s="11" t="n"/>
      <c r="H262" s="11" t="n"/>
      <c r="I262" s="11" t="n"/>
      <c r="J262" s="11" t="n"/>
      <c r="K262" s="11" t="n"/>
      <c r="L262" s="14">
        <f>IF($C262="","",IFERROR(VLOOKUP($C262,Setup!$A$17:$B$22,2,FALSE),1))</f>
        <v/>
      </c>
      <c r="M262" s="14">
        <f>IF($K262="",$L262,$K262)</f>
        <v/>
      </c>
      <c r="N262" s="14">
        <f>IF(OR($E262="",$F262=""),"",1-(1-$E262)^$F262)</f>
        <v/>
      </c>
      <c r="O262" s="14">
        <f>IF(OR($N262="",$G262=""),"",$N262*$G262)</f>
        <v/>
      </c>
      <c r="P262" s="14">
        <f>IF(OR($O262="",$I262="",$J262="",$H262=""),"",$O262*$I262*$J262*(1-$H262))</f>
        <v/>
      </c>
      <c r="Q262" s="14">
        <f>IF(OR($P262="",$M262=""),"",$P262*$M262)</f>
        <v/>
      </c>
      <c r="R262" s="11" t="n"/>
      <c r="S262" s="13" t="n"/>
      <c r="T262" s="14">
        <f>IF($Q262="","",$Q262+ROW()/1000000)</f>
        <v/>
      </c>
    </row>
    <row r="263">
      <c r="A263" s="11" t="n"/>
      <c r="B263" s="11" t="n"/>
      <c r="C263" s="11" t="n"/>
      <c r="D263" s="13" t="n"/>
      <c r="E263" s="11" t="n"/>
      <c r="F263" s="11" t="n"/>
      <c r="G263" s="11" t="n"/>
      <c r="H263" s="11" t="n"/>
      <c r="I263" s="11" t="n"/>
      <c r="J263" s="11" t="n"/>
      <c r="K263" s="11" t="n"/>
      <c r="L263" s="14">
        <f>IF($C263="","",IFERROR(VLOOKUP($C263,Setup!$A$17:$B$22,2,FALSE),1))</f>
        <v/>
      </c>
      <c r="M263" s="14">
        <f>IF($K263="",$L263,$K263)</f>
        <v/>
      </c>
      <c r="N263" s="14">
        <f>IF(OR($E263="",$F263=""),"",1-(1-$E263)^$F263)</f>
        <v/>
      </c>
      <c r="O263" s="14">
        <f>IF(OR($N263="",$G263=""),"",$N263*$G263)</f>
        <v/>
      </c>
      <c r="P263" s="14">
        <f>IF(OR($O263="",$I263="",$J263="",$H263=""),"",$O263*$I263*$J263*(1-$H263))</f>
        <v/>
      </c>
      <c r="Q263" s="14">
        <f>IF(OR($P263="",$M263=""),"",$P263*$M263)</f>
        <v/>
      </c>
      <c r="R263" s="11" t="n"/>
      <c r="S263" s="13" t="n"/>
      <c r="T263" s="14">
        <f>IF($Q263="","",$Q263+ROW()/1000000)</f>
        <v/>
      </c>
    </row>
    <row r="264">
      <c r="A264" s="11" t="n"/>
      <c r="B264" s="11" t="n"/>
      <c r="C264" s="11" t="n"/>
      <c r="D264" s="13" t="n"/>
      <c r="E264" s="11" t="n"/>
      <c r="F264" s="11" t="n"/>
      <c r="G264" s="11" t="n"/>
      <c r="H264" s="11" t="n"/>
      <c r="I264" s="11" t="n"/>
      <c r="J264" s="11" t="n"/>
      <c r="K264" s="11" t="n"/>
      <c r="L264" s="14">
        <f>IF($C264="","",IFERROR(VLOOKUP($C264,Setup!$A$17:$B$22,2,FALSE),1))</f>
        <v/>
      </c>
      <c r="M264" s="14">
        <f>IF($K264="",$L264,$K264)</f>
        <v/>
      </c>
      <c r="N264" s="14">
        <f>IF(OR($E264="",$F264=""),"",1-(1-$E264)^$F264)</f>
        <v/>
      </c>
      <c r="O264" s="14">
        <f>IF(OR($N264="",$G264=""),"",$N264*$G264)</f>
        <v/>
      </c>
      <c r="P264" s="14">
        <f>IF(OR($O264="",$I264="",$J264="",$H264=""),"",$O264*$I264*$J264*(1-$H264))</f>
        <v/>
      </c>
      <c r="Q264" s="14">
        <f>IF(OR($P264="",$M264=""),"",$P264*$M264)</f>
        <v/>
      </c>
      <c r="R264" s="11" t="n"/>
      <c r="S264" s="13" t="n"/>
      <c r="T264" s="14">
        <f>IF($Q264="","",$Q264+ROW()/1000000)</f>
        <v/>
      </c>
    </row>
    <row r="265">
      <c r="A265" s="11" t="n"/>
      <c r="B265" s="11" t="n"/>
      <c r="C265" s="11" t="n"/>
      <c r="D265" s="13" t="n"/>
      <c r="E265" s="11" t="n"/>
      <c r="F265" s="11" t="n"/>
      <c r="G265" s="11" t="n"/>
      <c r="H265" s="11" t="n"/>
      <c r="I265" s="11" t="n"/>
      <c r="J265" s="11" t="n"/>
      <c r="K265" s="11" t="n"/>
      <c r="L265" s="14">
        <f>IF($C265="","",IFERROR(VLOOKUP($C265,Setup!$A$17:$B$22,2,FALSE),1))</f>
        <v/>
      </c>
      <c r="M265" s="14">
        <f>IF($K265="",$L265,$K265)</f>
        <v/>
      </c>
      <c r="N265" s="14">
        <f>IF(OR($E265="",$F265=""),"",1-(1-$E265)^$F265)</f>
        <v/>
      </c>
      <c r="O265" s="14">
        <f>IF(OR($N265="",$G265=""),"",$N265*$G265)</f>
        <v/>
      </c>
      <c r="P265" s="14">
        <f>IF(OR($O265="",$I265="",$J265="",$H265=""),"",$O265*$I265*$J265*(1-$H265))</f>
        <v/>
      </c>
      <c r="Q265" s="14">
        <f>IF(OR($P265="",$M265=""),"",$P265*$M265)</f>
        <v/>
      </c>
      <c r="R265" s="11" t="n"/>
      <c r="S265" s="13" t="n"/>
      <c r="T265" s="14">
        <f>IF($Q265="","",$Q265+ROW()/1000000)</f>
        <v/>
      </c>
    </row>
    <row r="266">
      <c r="A266" s="11" t="n"/>
      <c r="B266" s="11" t="n"/>
      <c r="C266" s="11" t="n"/>
      <c r="D266" s="13" t="n"/>
      <c r="E266" s="11" t="n"/>
      <c r="F266" s="11" t="n"/>
      <c r="G266" s="11" t="n"/>
      <c r="H266" s="11" t="n"/>
      <c r="I266" s="11" t="n"/>
      <c r="J266" s="11" t="n"/>
      <c r="K266" s="11" t="n"/>
      <c r="L266" s="14">
        <f>IF($C266="","",IFERROR(VLOOKUP($C266,Setup!$A$17:$B$22,2,FALSE),1))</f>
        <v/>
      </c>
      <c r="M266" s="14">
        <f>IF($K266="",$L266,$K266)</f>
        <v/>
      </c>
      <c r="N266" s="14">
        <f>IF(OR($E266="",$F266=""),"",1-(1-$E266)^$F266)</f>
        <v/>
      </c>
      <c r="O266" s="14">
        <f>IF(OR($N266="",$G266=""),"",$N266*$G266)</f>
        <v/>
      </c>
      <c r="P266" s="14">
        <f>IF(OR($O266="",$I266="",$J266="",$H266=""),"",$O266*$I266*$J266*(1-$H266))</f>
        <v/>
      </c>
      <c r="Q266" s="14">
        <f>IF(OR($P266="",$M266=""),"",$P266*$M266)</f>
        <v/>
      </c>
      <c r="R266" s="11" t="n"/>
      <c r="S266" s="13" t="n"/>
      <c r="T266" s="14">
        <f>IF($Q266="","",$Q266+ROW()/1000000)</f>
        <v/>
      </c>
    </row>
    <row r="267">
      <c r="A267" s="11" t="n"/>
      <c r="B267" s="11" t="n"/>
      <c r="C267" s="11" t="n"/>
      <c r="D267" s="13" t="n"/>
      <c r="E267" s="11" t="n"/>
      <c r="F267" s="11" t="n"/>
      <c r="G267" s="11" t="n"/>
      <c r="H267" s="11" t="n"/>
      <c r="I267" s="11" t="n"/>
      <c r="J267" s="11" t="n"/>
      <c r="K267" s="11" t="n"/>
      <c r="L267" s="14">
        <f>IF($C267="","",IFERROR(VLOOKUP($C267,Setup!$A$17:$B$22,2,FALSE),1))</f>
        <v/>
      </c>
      <c r="M267" s="14">
        <f>IF($K267="",$L267,$K267)</f>
        <v/>
      </c>
      <c r="N267" s="14">
        <f>IF(OR($E267="",$F267=""),"",1-(1-$E267)^$F267)</f>
        <v/>
      </c>
      <c r="O267" s="14">
        <f>IF(OR($N267="",$G267=""),"",$N267*$G267)</f>
        <v/>
      </c>
      <c r="P267" s="14">
        <f>IF(OR($O267="",$I267="",$J267="",$H267=""),"",$O267*$I267*$J267*(1-$H267))</f>
        <v/>
      </c>
      <c r="Q267" s="14">
        <f>IF(OR($P267="",$M267=""),"",$P267*$M267)</f>
        <v/>
      </c>
      <c r="R267" s="11" t="n"/>
      <c r="S267" s="13" t="n"/>
      <c r="T267" s="14">
        <f>IF($Q267="","",$Q267+ROW()/1000000)</f>
        <v/>
      </c>
    </row>
    <row r="268">
      <c r="A268" s="11" t="n"/>
      <c r="B268" s="11" t="n"/>
      <c r="C268" s="11" t="n"/>
      <c r="D268" s="13" t="n"/>
      <c r="E268" s="11" t="n"/>
      <c r="F268" s="11" t="n"/>
      <c r="G268" s="11" t="n"/>
      <c r="H268" s="11" t="n"/>
      <c r="I268" s="11" t="n"/>
      <c r="J268" s="11" t="n"/>
      <c r="K268" s="11" t="n"/>
      <c r="L268" s="14">
        <f>IF($C268="","",IFERROR(VLOOKUP($C268,Setup!$A$17:$B$22,2,FALSE),1))</f>
        <v/>
      </c>
      <c r="M268" s="14">
        <f>IF($K268="",$L268,$K268)</f>
        <v/>
      </c>
      <c r="N268" s="14">
        <f>IF(OR($E268="",$F268=""),"",1-(1-$E268)^$F268)</f>
        <v/>
      </c>
      <c r="O268" s="14">
        <f>IF(OR($N268="",$G268=""),"",$N268*$G268)</f>
        <v/>
      </c>
      <c r="P268" s="14">
        <f>IF(OR($O268="",$I268="",$J268="",$H268=""),"",$O268*$I268*$J268*(1-$H268))</f>
        <v/>
      </c>
      <c r="Q268" s="14">
        <f>IF(OR($P268="",$M268=""),"",$P268*$M268)</f>
        <v/>
      </c>
      <c r="R268" s="11" t="n"/>
      <c r="S268" s="13" t="n"/>
      <c r="T268" s="14">
        <f>IF($Q268="","",$Q268+ROW()/1000000)</f>
        <v/>
      </c>
    </row>
    <row r="269">
      <c r="A269" s="11" t="n"/>
      <c r="B269" s="11" t="n"/>
      <c r="C269" s="11" t="n"/>
      <c r="D269" s="13" t="n"/>
      <c r="E269" s="11" t="n"/>
      <c r="F269" s="11" t="n"/>
      <c r="G269" s="11" t="n"/>
      <c r="H269" s="11" t="n"/>
      <c r="I269" s="11" t="n"/>
      <c r="J269" s="11" t="n"/>
      <c r="K269" s="11" t="n"/>
      <c r="L269" s="14">
        <f>IF($C269="","",IFERROR(VLOOKUP($C269,Setup!$A$17:$B$22,2,FALSE),1))</f>
        <v/>
      </c>
      <c r="M269" s="14">
        <f>IF($K269="",$L269,$K269)</f>
        <v/>
      </c>
      <c r="N269" s="14">
        <f>IF(OR($E269="",$F269=""),"",1-(1-$E269)^$F269)</f>
        <v/>
      </c>
      <c r="O269" s="14">
        <f>IF(OR($N269="",$G269=""),"",$N269*$G269)</f>
        <v/>
      </c>
      <c r="P269" s="14">
        <f>IF(OR($O269="",$I269="",$J269="",$H269=""),"",$O269*$I269*$J269*(1-$H269))</f>
        <v/>
      </c>
      <c r="Q269" s="14">
        <f>IF(OR($P269="",$M269=""),"",$P269*$M269)</f>
        <v/>
      </c>
      <c r="R269" s="11" t="n"/>
      <c r="S269" s="13" t="n"/>
      <c r="T269" s="14">
        <f>IF($Q269="","",$Q269+ROW()/1000000)</f>
        <v/>
      </c>
    </row>
    <row r="270">
      <c r="A270" s="11" t="n"/>
      <c r="B270" s="11" t="n"/>
      <c r="C270" s="11" t="n"/>
      <c r="D270" s="13" t="n"/>
      <c r="E270" s="11" t="n"/>
      <c r="F270" s="11" t="n"/>
      <c r="G270" s="11" t="n"/>
      <c r="H270" s="11" t="n"/>
      <c r="I270" s="11" t="n"/>
      <c r="J270" s="11" t="n"/>
      <c r="K270" s="11" t="n"/>
      <c r="L270" s="14">
        <f>IF($C270="","",IFERROR(VLOOKUP($C270,Setup!$A$17:$B$22,2,FALSE),1))</f>
        <v/>
      </c>
      <c r="M270" s="14">
        <f>IF($K270="",$L270,$K270)</f>
        <v/>
      </c>
      <c r="N270" s="14">
        <f>IF(OR($E270="",$F270=""),"",1-(1-$E270)^$F270)</f>
        <v/>
      </c>
      <c r="O270" s="14">
        <f>IF(OR($N270="",$G270=""),"",$N270*$G270)</f>
        <v/>
      </c>
      <c r="P270" s="14">
        <f>IF(OR($O270="",$I270="",$J270="",$H270=""),"",$O270*$I270*$J270*(1-$H270))</f>
        <v/>
      </c>
      <c r="Q270" s="14">
        <f>IF(OR($P270="",$M270=""),"",$P270*$M270)</f>
        <v/>
      </c>
      <c r="R270" s="11" t="n"/>
      <c r="S270" s="13" t="n"/>
      <c r="T270" s="14">
        <f>IF($Q270="","",$Q270+ROW()/1000000)</f>
        <v/>
      </c>
    </row>
    <row r="271">
      <c r="A271" s="11" t="n"/>
      <c r="B271" s="11" t="n"/>
      <c r="C271" s="11" t="n"/>
      <c r="D271" s="13" t="n"/>
      <c r="E271" s="11" t="n"/>
      <c r="F271" s="11" t="n"/>
      <c r="G271" s="11" t="n"/>
      <c r="H271" s="11" t="n"/>
      <c r="I271" s="11" t="n"/>
      <c r="J271" s="11" t="n"/>
      <c r="K271" s="11" t="n"/>
      <c r="L271" s="14">
        <f>IF($C271="","",IFERROR(VLOOKUP($C271,Setup!$A$17:$B$22,2,FALSE),1))</f>
        <v/>
      </c>
      <c r="M271" s="14">
        <f>IF($K271="",$L271,$K271)</f>
        <v/>
      </c>
      <c r="N271" s="14">
        <f>IF(OR($E271="",$F271=""),"",1-(1-$E271)^$F271)</f>
        <v/>
      </c>
      <c r="O271" s="14">
        <f>IF(OR($N271="",$G271=""),"",$N271*$G271)</f>
        <v/>
      </c>
      <c r="P271" s="14">
        <f>IF(OR($O271="",$I271="",$J271="",$H271=""),"",$O271*$I271*$J271*(1-$H271))</f>
        <v/>
      </c>
      <c r="Q271" s="14">
        <f>IF(OR($P271="",$M271=""),"",$P271*$M271)</f>
        <v/>
      </c>
      <c r="R271" s="11" t="n"/>
      <c r="S271" s="13" t="n"/>
      <c r="T271" s="14">
        <f>IF($Q271="","",$Q271+ROW()/1000000)</f>
        <v/>
      </c>
    </row>
    <row r="272">
      <c r="A272" s="11" t="n"/>
      <c r="B272" s="11" t="n"/>
      <c r="C272" s="11" t="n"/>
      <c r="D272" s="13" t="n"/>
      <c r="E272" s="11" t="n"/>
      <c r="F272" s="11" t="n"/>
      <c r="G272" s="11" t="n"/>
      <c r="H272" s="11" t="n"/>
      <c r="I272" s="11" t="n"/>
      <c r="J272" s="11" t="n"/>
      <c r="K272" s="11" t="n"/>
      <c r="L272" s="14">
        <f>IF($C272="","",IFERROR(VLOOKUP($C272,Setup!$A$17:$B$22,2,FALSE),1))</f>
        <v/>
      </c>
      <c r="M272" s="14">
        <f>IF($K272="",$L272,$K272)</f>
        <v/>
      </c>
      <c r="N272" s="14">
        <f>IF(OR($E272="",$F272=""),"",1-(1-$E272)^$F272)</f>
        <v/>
      </c>
      <c r="O272" s="14">
        <f>IF(OR($N272="",$G272=""),"",$N272*$G272)</f>
        <v/>
      </c>
      <c r="P272" s="14">
        <f>IF(OR($O272="",$I272="",$J272="",$H272=""),"",$O272*$I272*$J272*(1-$H272))</f>
        <v/>
      </c>
      <c r="Q272" s="14">
        <f>IF(OR($P272="",$M272=""),"",$P272*$M272)</f>
        <v/>
      </c>
      <c r="R272" s="11" t="n"/>
      <c r="S272" s="13" t="n"/>
      <c r="T272" s="14">
        <f>IF($Q272="","",$Q272+ROW()/1000000)</f>
        <v/>
      </c>
    </row>
    <row r="273">
      <c r="A273" s="11" t="n"/>
      <c r="B273" s="11" t="n"/>
      <c r="C273" s="11" t="n"/>
      <c r="D273" s="13" t="n"/>
      <c r="E273" s="11" t="n"/>
      <c r="F273" s="11" t="n"/>
      <c r="G273" s="11" t="n"/>
      <c r="H273" s="11" t="n"/>
      <c r="I273" s="11" t="n"/>
      <c r="J273" s="11" t="n"/>
      <c r="K273" s="11" t="n"/>
      <c r="L273" s="14">
        <f>IF($C273="","",IFERROR(VLOOKUP($C273,Setup!$A$17:$B$22,2,FALSE),1))</f>
        <v/>
      </c>
      <c r="M273" s="14">
        <f>IF($K273="",$L273,$K273)</f>
        <v/>
      </c>
      <c r="N273" s="14">
        <f>IF(OR($E273="",$F273=""),"",1-(1-$E273)^$F273)</f>
        <v/>
      </c>
      <c r="O273" s="14">
        <f>IF(OR($N273="",$G273=""),"",$N273*$G273)</f>
        <v/>
      </c>
      <c r="P273" s="14">
        <f>IF(OR($O273="",$I273="",$J273="",$H273=""),"",$O273*$I273*$J273*(1-$H273))</f>
        <v/>
      </c>
      <c r="Q273" s="14">
        <f>IF(OR($P273="",$M273=""),"",$P273*$M273)</f>
        <v/>
      </c>
      <c r="R273" s="11" t="n"/>
      <c r="S273" s="13" t="n"/>
      <c r="T273" s="14">
        <f>IF($Q273="","",$Q273+ROW()/1000000)</f>
        <v/>
      </c>
    </row>
    <row r="274">
      <c r="A274" s="11" t="n"/>
      <c r="B274" s="11" t="n"/>
      <c r="C274" s="11" t="n"/>
      <c r="D274" s="13" t="n"/>
      <c r="E274" s="11" t="n"/>
      <c r="F274" s="11" t="n"/>
      <c r="G274" s="11" t="n"/>
      <c r="H274" s="11" t="n"/>
      <c r="I274" s="11" t="n"/>
      <c r="J274" s="11" t="n"/>
      <c r="K274" s="11" t="n"/>
      <c r="L274" s="14">
        <f>IF($C274="","",IFERROR(VLOOKUP($C274,Setup!$A$17:$B$22,2,FALSE),1))</f>
        <v/>
      </c>
      <c r="M274" s="14">
        <f>IF($K274="",$L274,$K274)</f>
        <v/>
      </c>
      <c r="N274" s="14">
        <f>IF(OR($E274="",$F274=""),"",1-(1-$E274)^$F274)</f>
        <v/>
      </c>
      <c r="O274" s="14">
        <f>IF(OR($N274="",$G274=""),"",$N274*$G274)</f>
        <v/>
      </c>
      <c r="P274" s="14">
        <f>IF(OR($O274="",$I274="",$J274="",$H274=""),"",$O274*$I274*$J274*(1-$H274))</f>
        <v/>
      </c>
      <c r="Q274" s="14">
        <f>IF(OR($P274="",$M274=""),"",$P274*$M274)</f>
        <v/>
      </c>
      <c r="R274" s="11" t="n"/>
      <c r="S274" s="13" t="n"/>
      <c r="T274" s="14">
        <f>IF($Q274="","",$Q274+ROW()/1000000)</f>
        <v/>
      </c>
    </row>
    <row r="275">
      <c r="A275" s="11" t="n"/>
      <c r="B275" s="11" t="n"/>
      <c r="C275" s="11" t="n"/>
      <c r="D275" s="13" t="n"/>
      <c r="E275" s="11" t="n"/>
      <c r="F275" s="11" t="n"/>
      <c r="G275" s="11" t="n"/>
      <c r="H275" s="11" t="n"/>
      <c r="I275" s="11" t="n"/>
      <c r="J275" s="11" t="n"/>
      <c r="K275" s="11" t="n"/>
      <c r="L275" s="14">
        <f>IF($C275="","",IFERROR(VLOOKUP($C275,Setup!$A$17:$B$22,2,FALSE),1))</f>
        <v/>
      </c>
      <c r="M275" s="14">
        <f>IF($K275="",$L275,$K275)</f>
        <v/>
      </c>
      <c r="N275" s="14">
        <f>IF(OR($E275="",$F275=""),"",1-(1-$E275)^$F275)</f>
        <v/>
      </c>
      <c r="O275" s="14">
        <f>IF(OR($N275="",$G275=""),"",$N275*$G275)</f>
        <v/>
      </c>
      <c r="P275" s="14">
        <f>IF(OR($O275="",$I275="",$J275="",$H275=""),"",$O275*$I275*$J275*(1-$H275))</f>
        <v/>
      </c>
      <c r="Q275" s="14">
        <f>IF(OR($P275="",$M275=""),"",$P275*$M275)</f>
        <v/>
      </c>
      <c r="R275" s="11" t="n"/>
      <c r="S275" s="13" t="n"/>
      <c r="T275" s="14">
        <f>IF($Q275="","",$Q275+ROW()/1000000)</f>
        <v/>
      </c>
    </row>
    <row r="276">
      <c r="A276" s="11" t="n"/>
      <c r="B276" s="11" t="n"/>
      <c r="C276" s="11" t="n"/>
      <c r="D276" s="13" t="n"/>
      <c r="E276" s="11" t="n"/>
      <c r="F276" s="11" t="n"/>
      <c r="G276" s="11" t="n"/>
      <c r="H276" s="11" t="n"/>
      <c r="I276" s="11" t="n"/>
      <c r="J276" s="11" t="n"/>
      <c r="K276" s="11" t="n"/>
      <c r="L276" s="14">
        <f>IF($C276="","",IFERROR(VLOOKUP($C276,Setup!$A$17:$B$22,2,FALSE),1))</f>
        <v/>
      </c>
      <c r="M276" s="14">
        <f>IF($K276="",$L276,$K276)</f>
        <v/>
      </c>
      <c r="N276" s="14">
        <f>IF(OR($E276="",$F276=""),"",1-(1-$E276)^$F276)</f>
        <v/>
      </c>
      <c r="O276" s="14">
        <f>IF(OR($N276="",$G276=""),"",$N276*$G276)</f>
        <v/>
      </c>
      <c r="P276" s="14">
        <f>IF(OR($O276="",$I276="",$J276="",$H276=""),"",$O276*$I276*$J276*(1-$H276))</f>
        <v/>
      </c>
      <c r="Q276" s="14">
        <f>IF(OR($P276="",$M276=""),"",$P276*$M276)</f>
        <v/>
      </c>
      <c r="R276" s="11" t="n"/>
      <c r="S276" s="13" t="n"/>
      <c r="T276" s="14">
        <f>IF($Q276="","",$Q276+ROW()/1000000)</f>
        <v/>
      </c>
    </row>
    <row r="277">
      <c r="A277" s="11" t="n"/>
      <c r="B277" s="11" t="n"/>
      <c r="C277" s="11" t="n"/>
      <c r="D277" s="13" t="n"/>
      <c r="E277" s="11" t="n"/>
      <c r="F277" s="11" t="n"/>
      <c r="G277" s="11" t="n"/>
      <c r="H277" s="11" t="n"/>
      <c r="I277" s="11" t="n"/>
      <c r="J277" s="11" t="n"/>
      <c r="K277" s="11" t="n"/>
      <c r="L277" s="14">
        <f>IF($C277="","",IFERROR(VLOOKUP($C277,Setup!$A$17:$B$22,2,FALSE),1))</f>
        <v/>
      </c>
      <c r="M277" s="14">
        <f>IF($K277="",$L277,$K277)</f>
        <v/>
      </c>
      <c r="N277" s="14">
        <f>IF(OR($E277="",$F277=""),"",1-(1-$E277)^$F277)</f>
        <v/>
      </c>
      <c r="O277" s="14">
        <f>IF(OR($N277="",$G277=""),"",$N277*$G277)</f>
        <v/>
      </c>
      <c r="P277" s="14">
        <f>IF(OR($O277="",$I277="",$J277="",$H277=""),"",$O277*$I277*$J277*(1-$H277))</f>
        <v/>
      </c>
      <c r="Q277" s="14">
        <f>IF(OR($P277="",$M277=""),"",$P277*$M277)</f>
        <v/>
      </c>
      <c r="R277" s="11" t="n"/>
      <c r="S277" s="13" t="n"/>
      <c r="T277" s="14">
        <f>IF($Q277="","",$Q277+ROW()/1000000)</f>
        <v/>
      </c>
    </row>
    <row r="278">
      <c r="A278" s="11" t="n"/>
      <c r="B278" s="11" t="n"/>
      <c r="C278" s="11" t="n"/>
      <c r="D278" s="13" t="n"/>
      <c r="E278" s="11" t="n"/>
      <c r="F278" s="11" t="n"/>
      <c r="G278" s="11" t="n"/>
      <c r="H278" s="11" t="n"/>
      <c r="I278" s="11" t="n"/>
      <c r="J278" s="11" t="n"/>
      <c r="K278" s="11" t="n"/>
      <c r="L278" s="14">
        <f>IF($C278="","",IFERROR(VLOOKUP($C278,Setup!$A$17:$B$22,2,FALSE),1))</f>
        <v/>
      </c>
      <c r="M278" s="14">
        <f>IF($K278="",$L278,$K278)</f>
        <v/>
      </c>
      <c r="N278" s="14">
        <f>IF(OR($E278="",$F278=""),"",1-(1-$E278)^$F278)</f>
        <v/>
      </c>
      <c r="O278" s="14">
        <f>IF(OR($N278="",$G278=""),"",$N278*$G278)</f>
        <v/>
      </c>
      <c r="P278" s="14">
        <f>IF(OR($O278="",$I278="",$J278="",$H278=""),"",$O278*$I278*$J278*(1-$H278))</f>
        <v/>
      </c>
      <c r="Q278" s="14">
        <f>IF(OR($P278="",$M278=""),"",$P278*$M278)</f>
        <v/>
      </c>
      <c r="R278" s="11" t="n"/>
      <c r="S278" s="13" t="n"/>
      <c r="T278" s="14">
        <f>IF($Q278="","",$Q278+ROW()/1000000)</f>
        <v/>
      </c>
    </row>
    <row r="279">
      <c r="A279" s="11" t="n"/>
      <c r="B279" s="11" t="n"/>
      <c r="C279" s="11" t="n"/>
      <c r="D279" s="13" t="n"/>
      <c r="E279" s="11" t="n"/>
      <c r="F279" s="11" t="n"/>
      <c r="G279" s="11" t="n"/>
      <c r="H279" s="11" t="n"/>
      <c r="I279" s="11" t="n"/>
      <c r="J279" s="11" t="n"/>
      <c r="K279" s="11" t="n"/>
      <c r="L279" s="14">
        <f>IF($C279="","",IFERROR(VLOOKUP($C279,Setup!$A$17:$B$22,2,FALSE),1))</f>
        <v/>
      </c>
      <c r="M279" s="14">
        <f>IF($K279="",$L279,$K279)</f>
        <v/>
      </c>
      <c r="N279" s="14">
        <f>IF(OR($E279="",$F279=""),"",1-(1-$E279)^$F279)</f>
        <v/>
      </c>
      <c r="O279" s="14">
        <f>IF(OR($N279="",$G279=""),"",$N279*$G279)</f>
        <v/>
      </c>
      <c r="P279" s="14">
        <f>IF(OR($O279="",$I279="",$J279="",$H279=""),"",$O279*$I279*$J279*(1-$H279))</f>
        <v/>
      </c>
      <c r="Q279" s="14">
        <f>IF(OR($P279="",$M279=""),"",$P279*$M279)</f>
        <v/>
      </c>
      <c r="R279" s="11" t="n"/>
      <c r="S279" s="13" t="n"/>
      <c r="T279" s="14">
        <f>IF($Q279="","",$Q279+ROW()/1000000)</f>
        <v/>
      </c>
    </row>
    <row r="280">
      <c r="A280" s="11" t="n"/>
      <c r="B280" s="11" t="n"/>
      <c r="C280" s="11" t="n"/>
      <c r="D280" s="13" t="n"/>
      <c r="E280" s="11" t="n"/>
      <c r="F280" s="11" t="n"/>
      <c r="G280" s="11" t="n"/>
      <c r="H280" s="11" t="n"/>
      <c r="I280" s="11" t="n"/>
      <c r="J280" s="11" t="n"/>
      <c r="K280" s="11" t="n"/>
      <c r="L280" s="14">
        <f>IF($C280="","",IFERROR(VLOOKUP($C280,Setup!$A$17:$B$22,2,FALSE),1))</f>
        <v/>
      </c>
      <c r="M280" s="14">
        <f>IF($K280="",$L280,$K280)</f>
        <v/>
      </c>
      <c r="N280" s="14">
        <f>IF(OR($E280="",$F280=""),"",1-(1-$E280)^$F280)</f>
        <v/>
      </c>
      <c r="O280" s="14">
        <f>IF(OR($N280="",$G280=""),"",$N280*$G280)</f>
        <v/>
      </c>
      <c r="P280" s="14">
        <f>IF(OR($O280="",$I280="",$J280="",$H280=""),"",$O280*$I280*$J280*(1-$H280))</f>
        <v/>
      </c>
      <c r="Q280" s="14">
        <f>IF(OR($P280="",$M280=""),"",$P280*$M280)</f>
        <v/>
      </c>
      <c r="R280" s="11" t="n"/>
      <c r="S280" s="13" t="n"/>
      <c r="T280" s="14">
        <f>IF($Q280="","",$Q280+ROW()/1000000)</f>
        <v/>
      </c>
    </row>
    <row r="281">
      <c r="A281" s="11" t="n"/>
      <c r="B281" s="11" t="n"/>
      <c r="C281" s="11" t="n"/>
      <c r="D281" s="13" t="n"/>
      <c r="E281" s="11" t="n"/>
      <c r="F281" s="11" t="n"/>
      <c r="G281" s="11" t="n"/>
      <c r="H281" s="11" t="n"/>
      <c r="I281" s="11" t="n"/>
      <c r="J281" s="11" t="n"/>
      <c r="K281" s="11" t="n"/>
      <c r="L281" s="14">
        <f>IF($C281="","",IFERROR(VLOOKUP($C281,Setup!$A$17:$B$22,2,FALSE),1))</f>
        <v/>
      </c>
      <c r="M281" s="14">
        <f>IF($K281="",$L281,$K281)</f>
        <v/>
      </c>
      <c r="N281" s="14">
        <f>IF(OR($E281="",$F281=""),"",1-(1-$E281)^$F281)</f>
        <v/>
      </c>
      <c r="O281" s="14">
        <f>IF(OR($N281="",$G281=""),"",$N281*$G281)</f>
        <v/>
      </c>
      <c r="P281" s="14">
        <f>IF(OR($O281="",$I281="",$J281="",$H281=""),"",$O281*$I281*$J281*(1-$H281))</f>
        <v/>
      </c>
      <c r="Q281" s="14">
        <f>IF(OR($P281="",$M281=""),"",$P281*$M281)</f>
        <v/>
      </c>
      <c r="R281" s="11" t="n"/>
      <c r="S281" s="13" t="n"/>
      <c r="T281" s="14">
        <f>IF($Q281="","",$Q281+ROW()/1000000)</f>
        <v/>
      </c>
    </row>
    <row r="282">
      <c r="A282" s="11" t="n"/>
      <c r="B282" s="11" t="n"/>
      <c r="C282" s="11" t="n"/>
      <c r="D282" s="13" t="n"/>
      <c r="E282" s="11" t="n"/>
      <c r="F282" s="11" t="n"/>
      <c r="G282" s="11" t="n"/>
      <c r="H282" s="11" t="n"/>
      <c r="I282" s="11" t="n"/>
      <c r="J282" s="11" t="n"/>
      <c r="K282" s="11" t="n"/>
      <c r="L282" s="14">
        <f>IF($C282="","",IFERROR(VLOOKUP($C282,Setup!$A$17:$B$22,2,FALSE),1))</f>
        <v/>
      </c>
      <c r="M282" s="14">
        <f>IF($K282="",$L282,$K282)</f>
        <v/>
      </c>
      <c r="N282" s="14">
        <f>IF(OR($E282="",$F282=""),"",1-(1-$E282)^$F282)</f>
        <v/>
      </c>
      <c r="O282" s="14">
        <f>IF(OR($N282="",$G282=""),"",$N282*$G282)</f>
        <v/>
      </c>
      <c r="P282" s="14">
        <f>IF(OR($O282="",$I282="",$J282="",$H282=""),"",$O282*$I282*$J282*(1-$H282))</f>
        <v/>
      </c>
      <c r="Q282" s="14">
        <f>IF(OR($P282="",$M282=""),"",$P282*$M282)</f>
        <v/>
      </c>
      <c r="R282" s="11" t="n"/>
      <c r="S282" s="13" t="n"/>
      <c r="T282" s="14">
        <f>IF($Q282="","",$Q282+ROW()/1000000)</f>
        <v/>
      </c>
    </row>
    <row r="283">
      <c r="A283" s="11" t="n"/>
      <c r="B283" s="11" t="n"/>
      <c r="C283" s="11" t="n"/>
      <c r="D283" s="13" t="n"/>
      <c r="E283" s="11" t="n"/>
      <c r="F283" s="11" t="n"/>
      <c r="G283" s="11" t="n"/>
      <c r="H283" s="11" t="n"/>
      <c r="I283" s="11" t="n"/>
      <c r="J283" s="11" t="n"/>
      <c r="K283" s="11" t="n"/>
      <c r="L283" s="14">
        <f>IF($C283="","",IFERROR(VLOOKUP($C283,Setup!$A$17:$B$22,2,FALSE),1))</f>
        <v/>
      </c>
      <c r="M283" s="14">
        <f>IF($K283="",$L283,$K283)</f>
        <v/>
      </c>
      <c r="N283" s="14">
        <f>IF(OR($E283="",$F283=""),"",1-(1-$E283)^$F283)</f>
        <v/>
      </c>
      <c r="O283" s="14">
        <f>IF(OR($N283="",$G283=""),"",$N283*$G283)</f>
        <v/>
      </c>
      <c r="P283" s="14">
        <f>IF(OR($O283="",$I283="",$J283="",$H283=""),"",$O283*$I283*$J283*(1-$H283))</f>
        <v/>
      </c>
      <c r="Q283" s="14">
        <f>IF(OR($P283="",$M283=""),"",$P283*$M283)</f>
        <v/>
      </c>
      <c r="R283" s="11" t="n"/>
      <c r="S283" s="13" t="n"/>
      <c r="T283" s="14">
        <f>IF($Q283="","",$Q283+ROW()/1000000)</f>
        <v/>
      </c>
    </row>
    <row r="284">
      <c r="A284" s="11" t="n"/>
      <c r="B284" s="11" t="n"/>
      <c r="C284" s="11" t="n"/>
      <c r="D284" s="13" t="n"/>
      <c r="E284" s="11" t="n"/>
      <c r="F284" s="11" t="n"/>
      <c r="G284" s="11" t="n"/>
      <c r="H284" s="11" t="n"/>
      <c r="I284" s="11" t="n"/>
      <c r="J284" s="11" t="n"/>
      <c r="K284" s="11" t="n"/>
      <c r="L284" s="14">
        <f>IF($C284="","",IFERROR(VLOOKUP($C284,Setup!$A$17:$B$22,2,FALSE),1))</f>
        <v/>
      </c>
      <c r="M284" s="14">
        <f>IF($K284="",$L284,$K284)</f>
        <v/>
      </c>
      <c r="N284" s="14">
        <f>IF(OR($E284="",$F284=""),"",1-(1-$E284)^$F284)</f>
        <v/>
      </c>
      <c r="O284" s="14">
        <f>IF(OR($N284="",$G284=""),"",$N284*$G284)</f>
        <v/>
      </c>
      <c r="P284" s="14">
        <f>IF(OR($O284="",$I284="",$J284="",$H284=""),"",$O284*$I284*$J284*(1-$H284))</f>
        <v/>
      </c>
      <c r="Q284" s="14">
        <f>IF(OR($P284="",$M284=""),"",$P284*$M284)</f>
        <v/>
      </c>
      <c r="R284" s="11" t="n"/>
      <c r="S284" s="13" t="n"/>
      <c r="T284" s="14">
        <f>IF($Q284="","",$Q284+ROW()/1000000)</f>
        <v/>
      </c>
    </row>
    <row r="285">
      <c r="A285" s="11" t="n"/>
      <c r="B285" s="11" t="n"/>
      <c r="C285" s="11" t="n"/>
      <c r="D285" s="13" t="n"/>
      <c r="E285" s="11" t="n"/>
      <c r="F285" s="11" t="n"/>
      <c r="G285" s="11" t="n"/>
      <c r="H285" s="11" t="n"/>
      <c r="I285" s="11" t="n"/>
      <c r="J285" s="11" t="n"/>
      <c r="K285" s="11" t="n"/>
      <c r="L285" s="14">
        <f>IF($C285="","",IFERROR(VLOOKUP($C285,Setup!$A$17:$B$22,2,FALSE),1))</f>
        <v/>
      </c>
      <c r="M285" s="14">
        <f>IF($K285="",$L285,$K285)</f>
        <v/>
      </c>
      <c r="N285" s="14">
        <f>IF(OR($E285="",$F285=""),"",1-(1-$E285)^$F285)</f>
        <v/>
      </c>
      <c r="O285" s="14">
        <f>IF(OR($N285="",$G285=""),"",$N285*$G285)</f>
        <v/>
      </c>
      <c r="P285" s="14">
        <f>IF(OR($O285="",$I285="",$J285="",$H285=""),"",$O285*$I285*$J285*(1-$H285))</f>
        <v/>
      </c>
      <c r="Q285" s="14">
        <f>IF(OR($P285="",$M285=""),"",$P285*$M285)</f>
        <v/>
      </c>
      <c r="R285" s="11" t="n"/>
      <c r="S285" s="13" t="n"/>
      <c r="T285" s="14">
        <f>IF($Q285="","",$Q285+ROW()/1000000)</f>
        <v/>
      </c>
    </row>
    <row r="286">
      <c r="A286" s="11" t="n"/>
      <c r="B286" s="11" t="n"/>
      <c r="C286" s="11" t="n"/>
      <c r="D286" s="13" t="n"/>
      <c r="E286" s="11" t="n"/>
      <c r="F286" s="11" t="n"/>
      <c r="G286" s="11" t="n"/>
      <c r="H286" s="11" t="n"/>
      <c r="I286" s="11" t="n"/>
      <c r="J286" s="11" t="n"/>
      <c r="K286" s="11" t="n"/>
      <c r="L286" s="14">
        <f>IF($C286="","",IFERROR(VLOOKUP($C286,Setup!$A$17:$B$22,2,FALSE),1))</f>
        <v/>
      </c>
      <c r="M286" s="14">
        <f>IF($K286="",$L286,$K286)</f>
        <v/>
      </c>
      <c r="N286" s="14">
        <f>IF(OR($E286="",$F286=""),"",1-(1-$E286)^$F286)</f>
        <v/>
      </c>
      <c r="O286" s="14">
        <f>IF(OR($N286="",$G286=""),"",$N286*$G286)</f>
        <v/>
      </c>
      <c r="P286" s="14">
        <f>IF(OR($O286="",$I286="",$J286="",$H286=""),"",$O286*$I286*$J286*(1-$H286))</f>
        <v/>
      </c>
      <c r="Q286" s="14">
        <f>IF(OR($P286="",$M286=""),"",$P286*$M286)</f>
        <v/>
      </c>
      <c r="R286" s="11" t="n"/>
      <c r="S286" s="13" t="n"/>
      <c r="T286" s="14">
        <f>IF($Q286="","",$Q286+ROW()/1000000)</f>
        <v/>
      </c>
    </row>
    <row r="287">
      <c r="A287" s="11" t="n"/>
      <c r="B287" s="11" t="n"/>
      <c r="C287" s="11" t="n"/>
      <c r="D287" s="13" t="n"/>
      <c r="E287" s="11" t="n"/>
      <c r="F287" s="11" t="n"/>
      <c r="G287" s="11" t="n"/>
      <c r="H287" s="11" t="n"/>
      <c r="I287" s="11" t="n"/>
      <c r="J287" s="11" t="n"/>
      <c r="K287" s="11" t="n"/>
      <c r="L287" s="14">
        <f>IF($C287="","",IFERROR(VLOOKUP($C287,Setup!$A$17:$B$22,2,FALSE),1))</f>
        <v/>
      </c>
      <c r="M287" s="14">
        <f>IF($K287="",$L287,$K287)</f>
        <v/>
      </c>
      <c r="N287" s="14">
        <f>IF(OR($E287="",$F287=""),"",1-(1-$E287)^$F287)</f>
        <v/>
      </c>
      <c r="O287" s="14">
        <f>IF(OR($N287="",$G287=""),"",$N287*$G287)</f>
        <v/>
      </c>
      <c r="P287" s="14">
        <f>IF(OR($O287="",$I287="",$J287="",$H287=""),"",$O287*$I287*$J287*(1-$H287))</f>
        <v/>
      </c>
      <c r="Q287" s="14">
        <f>IF(OR($P287="",$M287=""),"",$P287*$M287)</f>
        <v/>
      </c>
      <c r="R287" s="11" t="n"/>
      <c r="S287" s="13" t="n"/>
      <c r="T287" s="14">
        <f>IF($Q287="","",$Q287+ROW()/1000000)</f>
        <v/>
      </c>
    </row>
    <row r="288">
      <c r="A288" s="11" t="n"/>
      <c r="B288" s="11" t="n"/>
      <c r="C288" s="11" t="n"/>
      <c r="D288" s="13" t="n"/>
      <c r="E288" s="11" t="n"/>
      <c r="F288" s="11" t="n"/>
      <c r="G288" s="11" t="n"/>
      <c r="H288" s="11" t="n"/>
      <c r="I288" s="11" t="n"/>
      <c r="J288" s="11" t="n"/>
      <c r="K288" s="11" t="n"/>
      <c r="L288" s="14">
        <f>IF($C288="","",IFERROR(VLOOKUP($C288,Setup!$A$17:$B$22,2,FALSE),1))</f>
        <v/>
      </c>
      <c r="M288" s="14">
        <f>IF($K288="",$L288,$K288)</f>
        <v/>
      </c>
      <c r="N288" s="14">
        <f>IF(OR($E288="",$F288=""),"",1-(1-$E288)^$F288)</f>
        <v/>
      </c>
      <c r="O288" s="14">
        <f>IF(OR($N288="",$G288=""),"",$N288*$G288)</f>
        <v/>
      </c>
      <c r="P288" s="14">
        <f>IF(OR($O288="",$I288="",$J288="",$H288=""),"",$O288*$I288*$J288*(1-$H288))</f>
        <v/>
      </c>
      <c r="Q288" s="14">
        <f>IF(OR($P288="",$M288=""),"",$P288*$M288)</f>
        <v/>
      </c>
      <c r="R288" s="11" t="n"/>
      <c r="S288" s="13" t="n"/>
      <c r="T288" s="14">
        <f>IF($Q288="","",$Q288+ROW()/1000000)</f>
        <v/>
      </c>
    </row>
    <row r="289">
      <c r="A289" s="11" t="n"/>
      <c r="B289" s="11" t="n"/>
      <c r="C289" s="11" t="n"/>
      <c r="D289" s="13" t="n"/>
      <c r="E289" s="11" t="n"/>
      <c r="F289" s="11" t="n"/>
      <c r="G289" s="11" t="n"/>
      <c r="H289" s="11" t="n"/>
      <c r="I289" s="11" t="n"/>
      <c r="J289" s="11" t="n"/>
      <c r="K289" s="11" t="n"/>
      <c r="L289" s="14">
        <f>IF($C289="","",IFERROR(VLOOKUP($C289,Setup!$A$17:$B$22,2,FALSE),1))</f>
        <v/>
      </c>
      <c r="M289" s="14">
        <f>IF($K289="",$L289,$K289)</f>
        <v/>
      </c>
      <c r="N289" s="14">
        <f>IF(OR($E289="",$F289=""),"",1-(1-$E289)^$F289)</f>
        <v/>
      </c>
      <c r="O289" s="14">
        <f>IF(OR($N289="",$G289=""),"",$N289*$G289)</f>
        <v/>
      </c>
      <c r="P289" s="14">
        <f>IF(OR($O289="",$I289="",$J289="",$H289=""),"",$O289*$I289*$J289*(1-$H289))</f>
        <v/>
      </c>
      <c r="Q289" s="14">
        <f>IF(OR($P289="",$M289=""),"",$P289*$M289)</f>
        <v/>
      </c>
      <c r="R289" s="11" t="n"/>
      <c r="S289" s="13" t="n"/>
      <c r="T289" s="14">
        <f>IF($Q289="","",$Q289+ROW()/1000000)</f>
        <v/>
      </c>
    </row>
    <row r="290">
      <c r="A290" s="11" t="n"/>
      <c r="B290" s="11" t="n"/>
      <c r="C290" s="11" t="n"/>
      <c r="D290" s="13" t="n"/>
      <c r="E290" s="11" t="n"/>
      <c r="F290" s="11" t="n"/>
      <c r="G290" s="11" t="n"/>
      <c r="H290" s="11" t="n"/>
      <c r="I290" s="11" t="n"/>
      <c r="J290" s="11" t="n"/>
      <c r="K290" s="11" t="n"/>
      <c r="L290" s="14">
        <f>IF($C290="","",IFERROR(VLOOKUP($C290,Setup!$A$17:$B$22,2,FALSE),1))</f>
        <v/>
      </c>
      <c r="M290" s="14">
        <f>IF($K290="",$L290,$K290)</f>
        <v/>
      </c>
      <c r="N290" s="14">
        <f>IF(OR($E290="",$F290=""),"",1-(1-$E290)^$F290)</f>
        <v/>
      </c>
      <c r="O290" s="14">
        <f>IF(OR($N290="",$G290=""),"",$N290*$G290)</f>
        <v/>
      </c>
      <c r="P290" s="14">
        <f>IF(OR($O290="",$I290="",$J290="",$H290=""),"",$O290*$I290*$J290*(1-$H290))</f>
        <v/>
      </c>
      <c r="Q290" s="14">
        <f>IF(OR($P290="",$M290=""),"",$P290*$M290)</f>
        <v/>
      </c>
      <c r="R290" s="11" t="n"/>
      <c r="S290" s="13" t="n"/>
      <c r="T290" s="14">
        <f>IF($Q290="","",$Q290+ROW()/1000000)</f>
        <v/>
      </c>
    </row>
    <row r="291">
      <c r="A291" s="11" t="n"/>
      <c r="B291" s="11" t="n"/>
      <c r="C291" s="11" t="n"/>
      <c r="D291" s="13" t="n"/>
      <c r="E291" s="11" t="n"/>
      <c r="F291" s="11" t="n"/>
      <c r="G291" s="11" t="n"/>
      <c r="H291" s="11" t="n"/>
      <c r="I291" s="11" t="n"/>
      <c r="J291" s="11" t="n"/>
      <c r="K291" s="11" t="n"/>
      <c r="L291" s="14">
        <f>IF($C291="","",IFERROR(VLOOKUP($C291,Setup!$A$17:$B$22,2,FALSE),1))</f>
        <v/>
      </c>
      <c r="M291" s="14">
        <f>IF($K291="",$L291,$K291)</f>
        <v/>
      </c>
      <c r="N291" s="14">
        <f>IF(OR($E291="",$F291=""),"",1-(1-$E291)^$F291)</f>
        <v/>
      </c>
      <c r="O291" s="14">
        <f>IF(OR($N291="",$G291=""),"",$N291*$G291)</f>
        <v/>
      </c>
      <c r="P291" s="14">
        <f>IF(OR($O291="",$I291="",$J291="",$H291=""),"",$O291*$I291*$J291*(1-$H291))</f>
        <v/>
      </c>
      <c r="Q291" s="14">
        <f>IF(OR($P291="",$M291=""),"",$P291*$M291)</f>
        <v/>
      </c>
      <c r="R291" s="11" t="n"/>
      <c r="S291" s="13" t="n"/>
      <c r="T291" s="14">
        <f>IF($Q291="","",$Q291+ROW()/1000000)</f>
        <v/>
      </c>
    </row>
    <row r="292">
      <c r="A292" s="11" t="n"/>
      <c r="B292" s="11" t="n"/>
      <c r="C292" s="11" t="n"/>
      <c r="D292" s="13" t="n"/>
      <c r="E292" s="11" t="n"/>
      <c r="F292" s="11" t="n"/>
      <c r="G292" s="11" t="n"/>
      <c r="H292" s="11" t="n"/>
      <c r="I292" s="11" t="n"/>
      <c r="J292" s="11" t="n"/>
      <c r="K292" s="11" t="n"/>
      <c r="L292" s="14">
        <f>IF($C292="","",IFERROR(VLOOKUP($C292,Setup!$A$17:$B$22,2,FALSE),1))</f>
        <v/>
      </c>
      <c r="M292" s="14">
        <f>IF($K292="",$L292,$K292)</f>
        <v/>
      </c>
      <c r="N292" s="14">
        <f>IF(OR($E292="",$F292=""),"",1-(1-$E292)^$F292)</f>
        <v/>
      </c>
      <c r="O292" s="14">
        <f>IF(OR($N292="",$G292=""),"",$N292*$G292)</f>
        <v/>
      </c>
      <c r="P292" s="14">
        <f>IF(OR($O292="",$I292="",$J292="",$H292=""),"",$O292*$I292*$J292*(1-$H292))</f>
        <v/>
      </c>
      <c r="Q292" s="14">
        <f>IF(OR($P292="",$M292=""),"",$P292*$M292)</f>
        <v/>
      </c>
      <c r="R292" s="11" t="n"/>
      <c r="S292" s="13" t="n"/>
      <c r="T292" s="14">
        <f>IF($Q292="","",$Q292+ROW()/1000000)</f>
        <v/>
      </c>
    </row>
    <row r="293">
      <c r="A293" s="11" t="n"/>
      <c r="B293" s="11" t="n"/>
      <c r="C293" s="11" t="n"/>
      <c r="D293" s="13" t="n"/>
      <c r="E293" s="11" t="n"/>
      <c r="F293" s="11" t="n"/>
      <c r="G293" s="11" t="n"/>
      <c r="H293" s="11" t="n"/>
      <c r="I293" s="11" t="n"/>
      <c r="J293" s="11" t="n"/>
      <c r="K293" s="11" t="n"/>
      <c r="L293" s="14">
        <f>IF($C293="","",IFERROR(VLOOKUP($C293,Setup!$A$17:$B$22,2,FALSE),1))</f>
        <v/>
      </c>
      <c r="M293" s="14">
        <f>IF($K293="",$L293,$K293)</f>
        <v/>
      </c>
      <c r="N293" s="14">
        <f>IF(OR($E293="",$F293=""),"",1-(1-$E293)^$F293)</f>
        <v/>
      </c>
      <c r="O293" s="14">
        <f>IF(OR($N293="",$G293=""),"",$N293*$G293)</f>
        <v/>
      </c>
      <c r="P293" s="14">
        <f>IF(OR($O293="",$I293="",$J293="",$H293=""),"",$O293*$I293*$J293*(1-$H293))</f>
        <v/>
      </c>
      <c r="Q293" s="14">
        <f>IF(OR($P293="",$M293=""),"",$P293*$M293)</f>
        <v/>
      </c>
      <c r="R293" s="11" t="n"/>
      <c r="S293" s="13" t="n"/>
      <c r="T293" s="14">
        <f>IF($Q293="","",$Q293+ROW()/1000000)</f>
        <v/>
      </c>
    </row>
    <row r="294">
      <c r="A294" s="11" t="n"/>
      <c r="B294" s="11" t="n"/>
      <c r="C294" s="11" t="n"/>
      <c r="D294" s="13" t="n"/>
      <c r="E294" s="11" t="n"/>
      <c r="F294" s="11" t="n"/>
      <c r="G294" s="11" t="n"/>
      <c r="H294" s="11" t="n"/>
      <c r="I294" s="11" t="n"/>
      <c r="J294" s="11" t="n"/>
      <c r="K294" s="11" t="n"/>
      <c r="L294" s="14">
        <f>IF($C294="","",IFERROR(VLOOKUP($C294,Setup!$A$17:$B$22,2,FALSE),1))</f>
        <v/>
      </c>
      <c r="M294" s="14">
        <f>IF($K294="",$L294,$K294)</f>
        <v/>
      </c>
      <c r="N294" s="14">
        <f>IF(OR($E294="",$F294=""),"",1-(1-$E294)^$F294)</f>
        <v/>
      </c>
      <c r="O294" s="14">
        <f>IF(OR($N294="",$G294=""),"",$N294*$G294)</f>
        <v/>
      </c>
      <c r="P294" s="14">
        <f>IF(OR($O294="",$I294="",$J294="",$H294=""),"",$O294*$I294*$J294*(1-$H294))</f>
        <v/>
      </c>
      <c r="Q294" s="14">
        <f>IF(OR($P294="",$M294=""),"",$P294*$M294)</f>
        <v/>
      </c>
      <c r="R294" s="11" t="n"/>
      <c r="S294" s="13" t="n"/>
      <c r="T294" s="14">
        <f>IF($Q294="","",$Q294+ROW()/1000000)</f>
        <v/>
      </c>
    </row>
    <row r="295">
      <c r="A295" s="11" t="n"/>
      <c r="B295" s="11" t="n"/>
      <c r="C295" s="11" t="n"/>
      <c r="D295" s="13" t="n"/>
      <c r="E295" s="11" t="n"/>
      <c r="F295" s="11" t="n"/>
      <c r="G295" s="11" t="n"/>
      <c r="H295" s="11" t="n"/>
      <c r="I295" s="11" t="n"/>
      <c r="J295" s="11" t="n"/>
      <c r="K295" s="11" t="n"/>
      <c r="L295" s="14">
        <f>IF($C295="","",IFERROR(VLOOKUP($C295,Setup!$A$17:$B$22,2,FALSE),1))</f>
        <v/>
      </c>
      <c r="M295" s="14">
        <f>IF($K295="",$L295,$K295)</f>
        <v/>
      </c>
      <c r="N295" s="14">
        <f>IF(OR($E295="",$F295=""),"",1-(1-$E295)^$F295)</f>
        <v/>
      </c>
      <c r="O295" s="14">
        <f>IF(OR($N295="",$G295=""),"",$N295*$G295)</f>
        <v/>
      </c>
      <c r="P295" s="14">
        <f>IF(OR($O295="",$I295="",$J295="",$H295=""),"",$O295*$I295*$J295*(1-$H295))</f>
        <v/>
      </c>
      <c r="Q295" s="14">
        <f>IF(OR($P295="",$M295=""),"",$P295*$M295)</f>
        <v/>
      </c>
      <c r="R295" s="11" t="n"/>
      <c r="S295" s="13" t="n"/>
      <c r="T295" s="14">
        <f>IF($Q295="","",$Q295+ROW()/1000000)</f>
        <v/>
      </c>
    </row>
    <row r="296">
      <c r="A296" s="11" t="n"/>
      <c r="B296" s="11" t="n"/>
      <c r="C296" s="11" t="n"/>
      <c r="D296" s="13" t="n"/>
      <c r="E296" s="11" t="n"/>
      <c r="F296" s="11" t="n"/>
      <c r="G296" s="11" t="n"/>
      <c r="H296" s="11" t="n"/>
      <c r="I296" s="11" t="n"/>
      <c r="J296" s="11" t="n"/>
      <c r="K296" s="11" t="n"/>
      <c r="L296" s="14">
        <f>IF($C296="","",IFERROR(VLOOKUP($C296,Setup!$A$17:$B$22,2,FALSE),1))</f>
        <v/>
      </c>
      <c r="M296" s="14">
        <f>IF($K296="",$L296,$K296)</f>
        <v/>
      </c>
      <c r="N296" s="14">
        <f>IF(OR($E296="",$F296=""),"",1-(1-$E296)^$F296)</f>
        <v/>
      </c>
      <c r="O296" s="14">
        <f>IF(OR($N296="",$G296=""),"",$N296*$G296)</f>
        <v/>
      </c>
      <c r="P296" s="14">
        <f>IF(OR($O296="",$I296="",$J296="",$H296=""),"",$O296*$I296*$J296*(1-$H296))</f>
        <v/>
      </c>
      <c r="Q296" s="14">
        <f>IF(OR($P296="",$M296=""),"",$P296*$M296)</f>
        <v/>
      </c>
      <c r="R296" s="11" t="n"/>
      <c r="S296" s="13" t="n"/>
      <c r="T296" s="14">
        <f>IF($Q296="","",$Q296+ROW()/1000000)</f>
        <v/>
      </c>
    </row>
    <row r="297">
      <c r="A297" s="11" t="n"/>
      <c r="B297" s="11" t="n"/>
      <c r="C297" s="11" t="n"/>
      <c r="D297" s="13" t="n"/>
      <c r="E297" s="11" t="n"/>
      <c r="F297" s="11" t="n"/>
      <c r="G297" s="11" t="n"/>
      <c r="H297" s="11" t="n"/>
      <c r="I297" s="11" t="n"/>
      <c r="J297" s="11" t="n"/>
      <c r="K297" s="11" t="n"/>
      <c r="L297" s="14">
        <f>IF($C297="","",IFERROR(VLOOKUP($C297,Setup!$A$17:$B$22,2,FALSE),1))</f>
        <v/>
      </c>
      <c r="M297" s="14">
        <f>IF($K297="",$L297,$K297)</f>
        <v/>
      </c>
      <c r="N297" s="14">
        <f>IF(OR($E297="",$F297=""),"",1-(1-$E297)^$F297)</f>
        <v/>
      </c>
      <c r="O297" s="14">
        <f>IF(OR($N297="",$G297=""),"",$N297*$G297)</f>
        <v/>
      </c>
      <c r="P297" s="14">
        <f>IF(OR($O297="",$I297="",$J297="",$H297=""),"",$O297*$I297*$J297*(1-$H297))</f>
        <v/>
      </c>
      <c r="Q297" s="14">
        <f>IF(OR($P297="",$M297=""),"",$P297*$M297)</f>
        <v/>
      </c>
      <c r="R297" s="11" t="n"/>
      <c r="S297" s="13" t="n"/>
      <c r="T297" s="14">
        <f>IF($Q297="","",$Q297+ROW()/1000000)</f>
        <v/>
      </c>
    </row>
    <row r="298">
      <c r="A298" s="11" t="n"/>
      <c r="B298" s="11" t="n"/>
      <c r="C298" s="11" t="n"/>
      <c r="D298" s="13" t="n"/>
      <c r="E298" s="11" t="n"/>
      <c r="F298" s="11" t="n"/>
      <c r="G298" s="11" t="n"/>
      <c r="H298" s="11" t="n"/>
      <c r="I298" s="11" t="n"/>
      <c r="J298" s="11" t="n"/>
      <c r="K298" s="11" t="n"/>
      <c r="L298" s="14">
        <f>IF($C298="","",IFERROR(VLOOKUP($C298,Setup!$A$17:$B$22,2,FALSE),1))</f>
        <v/>
      </c>
      <c r="M298" s="14">
        <f>IF($K298="",$L298,$K298)</f>
        <v/>
      </c>
      <c r="N298" s="14">
        <f>IF(OR($E298="",$F298=""),"",1-(1-$E298)^$F298)</f>
        <v/>
      </c>
      <c r="O298" s="14">
        <f>IF(OR($N298="",$G298=""),"",$N298*$G298)</f>
        <v/>
      </c>
      <c r="P298" s="14">
        <f>IF(OR($O298="",$I298="",$J298="",$H298=""),"",$O298*$I298*$J298*(1-$H298))</f>
        <v/>
      </c>
      <c r="Q298" s="14">
        <f>IF(OR($P298="",$M298=""),"",$P298*$M298)</f>
        <v/>
      </c>
      <c r="R298" s="11" t="n"/>
      <c r="S298" s="13" t="n"/>
      <c r="T298" s="14">
        <f>IF($Q298="","",$Q298+ROW()/1000000)</f>
        <v/>
      </c>
    </row>
    <row r="299">
      <c r="A299" s="11" t="n"/>
      <c r="B299" s="11" t="n"/>
      <c r="C299" s="11" t="n"/>
      <c r="D299" s="13" t="n"/>
      <c r="E299" s="11" t="n"/>
      <c r="F299" s="11" t="n"/>
      <c r="G299" s="11" t="n"/>
      <c r="H299" s="11" t="n"/>
      <c r="I299" s="11" t="n"/>
      <c r="J299" s="11" t="n"/>
      <c r="K299" s="11" t="n"/>
      <c r="L299" s="14">
        <f>IF($C299="","",IFERROR(VLOOKUP($C299,Setup!$A$17:$B$22,2,FALSE),1))</f>
        <v/>
      </c>
      <c r="M299" s="14">
        <f>IF($K299="",$L299,$K299)</f>
        <v/>
      </c>
      <c r="N299" s="14">
        <f>IF(OR($E299="",$F299=""),"",1-(1-$E299)^$F299)</f>
        <v/>
      </c>
      <c r="O299" s="14">
        <f>IF(OR($N299="",$G299=""),"",$N299*$G299)</f>
        <v/>
      </c>
      <c r="P299" s="14">
        <f>IF(OR($O299="",$I299="",$J299="",$H299=""),"",$O299*$I299*$J299*(1-$H299))</f>
        <v/>
      </c>
      <c r="Q299" s="14">
        <f>IF(OR($P299="",$M299=""),"",$P299*$M299)</f>
        <v/>
      </c>
      <c r="R299" s="11" t="n"/>
      <c r="S299" s="13" t="n"/>
      <c r="T299" s="14">
        <f>IF($Q299="","",$Q299+ROW()/1000000)</f>
        <v/>
      </c>
    </row>
    <row r="300">
      <c r="A300" s="11" t="n"/>
      <c r="B300" s="11" t="n"/>
      <c r="C300" s="11" t="n"/>
      <c r="D300" s="13" t="n"/>
      <c r="E300" s="11" t="n"/>
      <c r="F300" s="11" t="n"/>
      <c r="G300" s="11" t="n"/>
      <c r="H300" s="11" t="n"/>
      <c r="I300" s="11" t="n"/>
      <c r="J300" s="11" t="n"/>
      <c r="K300" s="11" t="n"/>
      <c r="L300" s="14">
        <f>IF($C300="","",IFERROR(VLOOKUP($C300,Setup!$A$17:$B$22,2,FALSE),1))</f>
        <v/>
      </c>
      <c r="M300" s="14">
        <f>IF($K300="",$L300,$K300)</f>
        <v/>
      </c>
      <c r="N300" s="14">
        <f>IF(OR($E300="",$F300=""),"",1-(1-$E300)^$F300)</f>
        <v/>
      </c>
      <c r="O300" s="14">
        <f>IF(OR($N300="",$G300=""),"",$N300*$G300)</f>
        <v/>
      </c>
      <c r="P300" s="14">
        <f>IF(OR($O300="",$I300="",$J300="",$H300=""),"",$O300*$I300*$J300*(1-$H300))</f>
        <v/>
      </c>
      <c r="Q300" s="14">
        <f>IF(OR($P300="",$M300=""),"",$P300*$M300)</f>
        <v/>
      </c>
      <c r="R300" s="11" t="n"/>
      <c r="S300" s="13" t="n"/>
      <c r="T300" s="14">
        <f>IF($Q300="","",$Q300+ROW()/1000000)</f>
        <v/>
      </c>
    </row>
    <row r="301">
      <c r="A301" s="11" t="n"/>
      <c r="B301" s="11" t="n"/>
      <c r="C301" s="11" t="n"/>
      <c r="D301" s="13" t="n"/>
      <c r="E301" s="11" t="n"/>
      <c r="F301" s="11" t="n"/>
      <c r="G301" s="11" t="n"/>
      <c r="H301" s="11" t="n"/>
      <c r="I301" s="11" t="n"/>
      <c r="J301" s="11" t="n"/>
      <c r="K301" s="11" t="n"/>
      <c r="L301" s="14">
        <f>IF($C301="","",IFERROR(VLOOKUP($C301,Setup!$A$17:$B$22,2,FALSE),1))</f>
        <v/>
      </c>
      <c r="M301" s="14">
        <f>IF($K301="",$L301,$K301)</f>
        <v/>
      </c>
      <c r="N301" s="14">
        <f>IF(OR($E301="",$F301=""),"",1-(1-$E301)^$F301)</f>
        <v/>
      </c>
      <c r="O301" s="14">
        <f>IF(OR($N301="",$G301=""),"",$N301*$G301)</f>
        <v/>
      </c>
      <c r="P301" s="14">
        <f>IF(OR($O301="",$I301="",$J301="",$H301=""),"",$O301*$I301*$J301*(1-$H301))</f>
        <v/>
      </c>
      <c r="Q301" s="14">
        <f>IF(OR($P301="",$M301=""),"",$P301*$M301)</f>
        <v/>
      </c>
      <c r="R301" s="11" t="n"/>
      <c r="S301" s="13" t="n"/>
      <c r="T301" s="14">
        <f>IF($Q301="","",$Q301+ROW()/1000000)</f>
        <v/>
      </c>
    </row>
  </sheetData>
  <sheetProtection selectLockedCells="0" selectUnlockedCells="0" sheet="1" objects="0" insertRows="1" insertHyperlinks="1" autoFilter="1" scenarios="0" formatColumns="1" deleteColumns="0" insertColumns="0" pivotTables="1" deleteRows="0" formatCells="1" formatRows="1" sort="1" password="CB7F"/>
  <autoFilter ref="A1:T1"/>
  <conditionalFormatting sqref="A2:K301">
    <cfRule type="expression" priority="1" dxfId="0">
      <formula>=AND($A2&lt;&gt;"",OR($E2="", $F2="", $G2="", $H2="", $I2="", $J2=""))</formula>
    </cfRule>
  </conditionalFormatting>
  <dataValidations count="6">
    <dataValidation sqref="E2:E301 H2:H301" showDropDown="0" showInputMessage="0" showErrorMessage="0" allowBlank="1" type="decimal" operator="between">
      <formula1>0</formula1>
      <formula2>1</formula2>
    </dataValidation>
    <dataValidation sqref="F2:F301" showDropDown="0" showInputMessage="0" showErrorMessage="0" allowBlank="1" type="whole" operator="greaterThanOrEqual">
      <formula1>1</formula1>
    </dataValidation>
    <dataValidation sqref="G2:G301" showDropDown="0" showInputMessage="0" showErrorMessage="0" allowBlank="1" type="decimal" operator="greaterThanOrEqual">
      <formula1>0</formula1>
    </dataValidation>
    <dataValidation sqref="I2:I301 J2:J301 K2:K301" showDropDown="0" showInputMessage="0" showErrorMessage="0" allowBlank="1" type="decimal" operator="greaterThan">
      <formula1>0</formula1>
    </dataValidation>
    <dataValidation sqref="C2:C301" showDropDown="0" showInputMessage="0" showErrorMessage="0" allowBlank="1" type="list">
      <formula1>=Setup!$A$8:$A$13</formula1>
    </dataValidation>
    <dataValidation sqref="R2:R301" showDropDown="0" showInputMessage="0" showErrorMessage="0" allowBlank="1" type="list">
      <formula1>=Setup!$C$8:$C$9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8" customWidth="1" min="4" max="4"/>
    <col width="14" customWidth="1" min="5" max="5"/>
    <col width="16" customWidth="1" min="6" max="6"/>
    <col width="26" customWidth="1" min="8" max="8"/>
    <col width="16" customWidth="1" min="9" max="9"/>
  </cols>
  <sheetData>
    <row r="1">
      <c r="A1" s="1" t="inlineStr">
        <is>
          <t>Dashboard</t>
        </is>
      </c>
    </row>
    <row r="3">
      <c r="A3" s="2" t="inlineStr">
        <is>
          <t>Key Metrics</t>
        </is>
      </c>
      <c r="D3" s="2" t="inlineStr">
        <is>
          <t>Top Risks by TRE_i</t>
        </is>
      </c>
      <c r="H3" s="2" t="inlineStr">
        <is>
          <t>Erosion / Escalation Outputs</t>
        </is>
      </c>
    </row>
    <row r="4">
      <c r="A4" s="15" t="inlineStr">
        <is>
          <t>Total Governance Load (G)</t>
        </is>
      </c>
      <c r="B4" s="16">
        <f>SUM(Risk_Register!Q:Q)</f>
        <v/>
      </c>
      <c r="D4" s="4" t="inlineStr">
        <is>
          <t>Risk_Name</t>
        </is>
      </c>
      <c r="E4" s="4" t="inlineStr">
        <is>
          <t>TRE_i</t>
        </is>
      </c>
      <c r="F4" s="4" t="inlineStr">
        <is>
          <t>Domain</t>
        </is>
      </c>
      <c r="H4" s="4" t="inlineStr">
        <is>
          <t>Metric</t>
        </is>
      </c>
      <c r="I4" s="4" t="inlineStr">
        <is>
          <t>Value</t>
        </is>
      </c>
    </row>
    <row r="5">
      <c r="A5" s="15" t="inlineStr">
        <is>
          <t>Governance Capacity (A)</t>
        </is>
      </c>
      <c r="B5" s="16">
        <f>Setup!B4</f>
        <v/>
      </c>
      <c r="D5" s="6">
        <f>IF($E5="","",INDEX(Risk_Register!$B$2:$B$301,MATCH($E5,Risk_Register!$Q$2:$Q$301,0)))</f>
        <v/>
      </c>
      <c r="E5" s="7">
        <f>IFERROR(LARGE(Risk_Register!Q$2:Q$301,1),"")</f>
        <v/>
      </c>
      <c r="F5" s="7">
        <f>IF($E5="","",INDEX(Risk_Register!$C$2:$C$301,MATCH($E5,Risk_Register!$Q$2:$Q$301,0)))</f>
        <v/>
      </c>
      <c r="H5" s="17" t="inlineStr">
        <is>
          <t>G_E (Σ TRE_i where E)</t>
        </is>
      </c>
      <c r="I5" s="7">
        <f>SUMIF(Risk_Register!$R$2:$R$301,"E (Escalating)",Risk_Register!$Q$2:$Q$301)</f>
        <v/>
      </c>
    </row>
    <row r="6">
      <c r="A6" s="15" t="inlineStr">
        <is>
          <t>Risk Load Ratio (LR = G / A)</t>
        </is>
      </c>
      <c r="B6" s="16">
        <f>IF(B5="","",B4/B5)</f>
        <v/>
      </c>
      <c r="D6" s="6">
        <f>IF($E6="","",INDEX(Risk_Register!$B$2:$B$301,MATCH($E6,Risk_Register!$Q$2:$Q$301,0)))</f>
        <v/>
      </c>
      <c r="E6" s="7">
        <f>IFERROR(LARGE(Risk_Register!Q$2:Q$301,2),"")</f>
        <v/>
      </c>
      <c r="F6" s="7">
        <f>IF($E6="","",INDEX(Risk_Register!$C$2:$C$301,MATCH($E6,Risk_Register!$Q$2:$Q$301,0)))</f>
        <v/>
      </c>
      <c r="H6" s="17" t="inlineStr">
        <is>
          <t>G_N (Σ TRE_i where N)</t>
        </is>
      </c>
      <c r="I6" s="7">
        <f>SUMIF(Risk_Register!$R$2:$R$301,"N (Non‑Escalating)",Risk_Register!$Q$2:$Q$301)</f>
        <v/>
      </c>
    </row>
    <row r="7">
      <c r="A7" s="15" t="inlineStr">
        <is>
          <t>Active Risks (count)</t>
        </is>
      </c>
      <c r="B7" s="16">
        <f>COUNTIF(Risk_Register!A2:A301,"&lt;&gt;")</f>
        <v/>
      </c>
      <c r="D7" s="6">
        <f>IF($E7="","",INDEX(Risk_Register!$B$2:$B$301,MATCH($E7,Risk_Register!$Q$2:$Q$301,0)))</f>
        <v/>
      </c>
      <c r="E7" s="7">
        <f>IFERROR(LARGE(Risk_Register!Q$2:Q$301,3),"")</f>
        <v/>
      </c>
      <c r="F7" s="7">
        <f>IF($E7="","",INDEX(Risk_Register!$C$2:$C$301,MATCH($E7,Risk_Register!$Q$2:$Q$301,0)))</f>
        <v/>
      </c>
      <c r="H7" s="17" t="inlineStr">
        <is>
          <t>%E of G</t>
        </is>
      </c>
      <c r="I7" s="7">
        <f>IF($B$4="","",$I$5/$B$4)</f>
        <v/>
      </c>
    </row>
    <row r="8">
      <c r="D8" s="6">
        <f>IF($E8="","",INDEX(Risk_Register!$B$2:$B$301,MATCH($E8,Risk_Register!$Q$2:$Q$301,0)))</f>
        <v/>
      </c>
      <c r="E8" s="7">
        <f>IFERROR(LARGE(Risk_Register!Q$2:Q$301,4),"")</f>
        <v/>
      </c>
      <c r="F8" s="7">
        <f>IF($E8="","",INDEX(Risk_Register!$C$2:$C$301,MATCH($E8,Risk_Register!$Q$2:$Q$301,0)))</f>
        <v/>
      </c>
      <c r="H8" s="17" t="inlineStr">
        <is>
          <t>LR_E = G_E / A</t>
        </is>
      </c>
      <c r="I8" s="7">
        <f>IF(Setup!$B$4="","",$I$5/Setup!$B$4)</f>
        <v/>
      </c>
    </row>
    <row r="9">
      <c r="D9" s="6">
        <f>IF($E9="","",INDEX(Risk_Register!$B$2:$B$301,MATCH($E9,Risk_Register!$Q$2:$Q$301,0)))</f>
        <v/>
      </c>
      <c r="E9" s="7">
        <f>IFERROR(LARGE(Risk_Register!Q$2:Q$301,5),"")</f>
        <v/>
      </c>
      <c r="F9" s="7">
        <f>IF($E9="","",INDEX(Risk_Register!$C$2:$C$301,MATCH($E9,Risk_Register!$Q$2:$Q$301,0)))</f>
        <v/>
      </c>
    </row>
    <row r="10">
      <c r="A10" s="2" t="inlineStr">
        <is>
          <t>Domain Composition (Σ TRE_i)</t>
        </is>
      </c>
      <c r="D10" s="6">
        <f>IF($E10="","",INDEX(Risk_Register!$B$2:$B$301,MATCH($E10,Risk_Register!$Q$2:$Q$301,0)))</f>
        <v/>
      </c>
      <c r="E10" s="7">
        <f>IFERROR(LARGE(Risk_Register!Q$2:Q$301,6),"")</f>
        <v/>
      </c>
      <c r="F10" s="7">
        <f>IF($E10="","",INDEX(Risk_Register!$C$2:$C$301,MATCH($E10,Risk_Register!$Q$2:$Q$301,0)))</f>
        <v/>
      </c>
      <c r="H10" s="4" t="inlineStr">
        <is>
          <t>Erosion_Flag</t>
        </is>
      </c>
      <c r="I10" s="4" t="inlineStr">
        <is>
          <t>Σ TRE_i</t>
        </is>
      </c>
    </row>
    <row r="11">
      <c r="A11" s="4" t="inlineStr">
        <is>
          <t>Domain</t>
        </is>
      </c>
      <c r="B11" s="4" t="inlineStr">
        <is>
          <t>Σ TRE_i</t>
        </is>
      </c>
      <c r="D11" s="6">
        <f>IF($E11="","",INDEX(Risk_Register!$B$2:$B$301,MATCH($E11,Risk_Register!$Q$2:$Q$301,0)))</f>
        <v/>
      </c>
      <c r="E11" s="7">
        <f>IFERROR(LARGE(Risk_Register!Q$2:Q$301,7),"")</f>
        <v/>
      </c>
      <c r="F11" s="7">
        <f>IF($E11="","",INDEX(Risk_Register!$C$2:$C$301,MATCH($E11,Risk_Register!$Q$2:$Q$301,0)))</f>
        <v/>
      </c>
      <c r="H11" s="6" t="inlineStr">
        <is>
          <t>E (Escalating)</t>
        </is>
      </c>
      <c r="I11" s="7">
        <f>I5</f>
        <v/>
      </c>
    </row>
    <row r="12">
      <c r="A12" s="6" t="inlineStr">
        <is>
          <t>Technology</t>
        </is>
      </c>
      <c r="B12" s="7">
        <f>SUMIF(Risk_Register!$C$2:$C$301,$A12,Risk_Register!$Q$2:$Q$301)</f>
        <v/>
      </c>
      <c r="D12" s="6">
        <f>IF($E12="","",INDEX(Risk_Register!$B$2:$B$301,MATCH($E12,Risk_Register!$Q$2:$Q$301,0)))</f>
        <v/>
      </c>
      <c r="E12" s="7">
        <f>IFERROR(LARGE(Risk_Register!Q$2:Q$301,8),"")</f>
        <v/>
      </c>
      <c r="F12" s="7">
        <f>IF($E12="","",INDEX(Risk_Register!$C$2:$C$301,MATCH($E12,Risk_Register!$Q$2:$Q$301,0)))</f>
        <v/>
      </c>
      <c r="H12" s="6" t="inlineStr">
        <is>
          <t>N (Non‑Escalating)</t>
        </is>
      </c>
      <c r="I12" s="7">
        <f>I6</f>
        <v/>
      </c>
    </row>
    <row r="13">
      <c r="A13" s="6" t="inlineStr">
        <is>
          <t>Operations</t>
        </is>
      </c>
      <c r="B13" s="7">
        <f>SUMIF(Risk_Register!$C$2:$C$301,$A13,Risk_Register!$Q$2:$Q$301)</f>
        <v/>
      </c>
      <c r="D13" s="6">
        <f>IF($E13="","",INDEX(Risk_Register!$B$2:$B$301,MATCH($E13,Risk_Register!$Q$2:$Q$301,0)))</f>
        <v/>
      </c>
      <c r="E13" s="7">
        <f>IFERROR(LARGE(Risk_Register!Q$2:Q$301,9),"")</f>
        <v/>
      </c>
      <c r="F13" s="7">
        <f>IF($E13="","",INDEX(Risk_Register!$C$2:$C$301,MATCH($E13,Risk_Register!$Q$2:$Q$301,0)))</f>
        <v/>
      </c>
    </row>
    <row r="14">
      <c r="A14" s="6" t="inlineStr">
        <is>
          <t>Compliance</t>
        </is>
      </c>
      <c r="B14" s="7">
        <f>SUMIF(Risk_Register!$C$2:$C$301,$A14,Risk_Register!$Q$2:$Q$301)</f>
        <v/>
      </c>
      <c r="D14" s="6">
        <f>IF($E14="","",INDEX(Risk_Register!$B$2:$B$301,MATCH($E14,Risk_Register!$Q$2:$Q$301,0)))</f>
        <v/>
      </c>
      <c r="E14" s="7">
        <f>IFERROR(LARGE(Risk_Register!Q$2:Q$301,10),"")</f>
        <v/>
      </c>
      <c r="F14" s="7">
        <f>IF($E14="","",INDEX(Risk_Register!$C$2:$C$301,MATCH($E14,Risk_Register!$Q$2:$Q$301,0)))</f>
        <v/>
      </c>
    </row>
    <row r="15">
      <c r="A15" s="6" t="inlineStr">
        <is>
          <t>Security</t>
        </is>
      </c>
      <c r="B15" s="7">
        <f>SUMIF(Risk_Register!$C$2:$C$301,$A15,Risk_Register!$Q$2:$Q$301)</f>
        <v/>
      </c>
    </row>
    <row r="16">
      <c r="A16" s="6" t="inlineStr">
        <is>
          <t>Strategy</t>
        </is>
      </c>
      <c r="B16" s="7">
        <f>SUMIF(Risk_Register!$C$2:$C$301,$A16,Risk_Register!$Q$2:$Q$301)</f>
        <v/>
      </c>
    </row>
    <row r="17">
      <c r="A17" s="6" t="inlineStr">
        <is>
          <t>Supply Chain</t>
        </is>
      </c>
      <c r="B17" s="7">
        <f>SUMIF(Risk_Register!$C$2:$C$301,$A17,Risk_Register!$Q$2:$Q$301)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Scenario Comparison</t>
        </is>
      </c>
    </row>
    <row r="3">
      <c r="A3" s="2" t="inlineStr">
        <is>
          <t>How it works</t>
        </is>
      </c>
    </row>
    <row r="4" ht="65" customHeight="1">
      <c r="A4" s="3" t="inlineStr">
        <is>
          <t>Each scenario applies multipliers to governance parameters while keeping the same risk register.
C_s = min(1, C × C_mult); tau_s = tau × tau_mult; TFi_s = TFi × TFi_mult.
G_s = Σ [ L_exp × tau_s × TFi_s × (1 − C_s) × TF_used ]. LR_s = G_s / A_s.
If A_s is blank, Setup!A is used.</t>
        </is>
      </c>
    </row>
    <row r="6">
      <c r="A6" s="2" t="inlineStr">
        <is>
          <t>Scenario Inputs</t>
        </is>
      </c>
    </row>
    <row r="8">
      <c r="A8" s="4" t="inlineStr">
        <is>
          <t>Scenario</t>
        </is>
      </c>
      <c r="B8" s="4" t="inlineStr">
        <is>
          <t>A_s</t>
        </is>
      </c>
      <c r="C8" s="4" t="inlineStr">
        <is>
          <t>C_mult</t>
        </is>
      </c>
      <c r="D8" s="4" t="inlineStr">
        <is>
          <t>tau_mult</t>
        </is>
      </c>
      <c r="E8" s="4" t="inlineStr">
        <is>
          <t>TFi_mult</t>
        </is>
      </c>
      <c r="F8" s="4" t="inlineStr">
        <is>
          <t>G_s</t>
        </is>
      </c>
      <c r="G8" s="4" t="inlineStr">
        <is>
          <t>LR_s</t>
        </is>
      </c>
      <c r="H8" s="4" t="inlineStr">
        <is>
          <t>ΔLR vs Base</t>
        </is>
      </c>
    </row>
    <row r="9">
      <c r="A9" s="16" t="inlineStr">
        <is>
          <t>Base</t>
        </is>
      </c>
      <c r="B9" s="11" t="inlineStr"/>
      <c r="C9" s="11" t="n">
        <v>1</v>
      </c>
      <c r="D9" s="11" t="n">
        <v>1</v>
      </c>
      <c r="E9" s="11" t="n">
        <v>1</v>
      </c>
      <c r="F9" s="16">
        <f>SUMPRODUCT(--(Risk_Register!$A$2:$A$301&lt;&gt;""),Risk_Register!$O$2:$O$301*(Risk_Register!$I$2:$I$301*$D9)*(Risk_Register!$J$2:$J$301*$E9)*(1-IF(Risk_Register!$H$2:$H$301*$C9&gt;1,1,Risk_Register!$H$2:$H$301*$C9))*Risk_Register!$M$2:$M$301)</f>
        <v/>
      </c>
      <c r="G9" s="16">
        <f>IF(IF($B9="",Setup!$B$4,$B9)="","",$F9/IF($B9="",Setup!$B$4,$B9))</f>
        <v/>
      </c>
      <c r="H9" s="16" t="inlineStr"/>
    </row>
    <row r="10">
      <c r="A10" s="16" t="inlineStr">
        <is>
          <t>Scenario_1</t>
        </is>
      </c>
      <c r="B10" s="11" t="inlineStr"/>
      <c r="C10" s="11" t="n">
        <v>1.1</v>
      </c>
      <c r="D10" s="11" t="n">
        <v>1</v>
      </c>
      <c r="E10" s="11" t="n">
        <v>1</v>
      </c>
      <c r="F10" s="16">
        <f>SUMPRODUCT(--(Risk_Register!$A$2:$A$301&lt;&gt;""),Risk_Register!$O$2:$O$301*(Risk_Register!$I$2:$I$301*$D10)*(Risk_Register!$J$2:$J$301*$E10)*(1-IF(Risk_Register!$H$2:$H$301*$C10&gt;1,1,Risk_Register!$H$2:$H$301*$C10))*Risk_Register!$M$2:$M$301)</f>
        <v/>
      </c>
      <c r="G10" s="16">
        <f>IF(IF($B10="",Setup!$B$4,$B10)="","",$F10/IF($B10="",Setup!$B$4,$B10))</f>
        <v/>
      </c>
      <c r="H10" s="16">
        <f>IF($G10="","",$G10-$G$9)</f>
        <v/>
      </c>
    </row>
    <row r="11">
      <c r="A11" s="16" t="inlineStr">
        <is>
          <t>Scenario_2</t>
        </is>
      </c>
      <c r="B11" s="11" t="inlineStr"/>
      <c r="C11" s="11" t="n">
        <v>1</v>
      </c>
      <c r="D11" s="11" t="n">
        <v>0.9</v>
      </c>
      <c r="E11" s="11" t="n">
        <v>1</v>
      </c>
      <c r="F11" s="16">
        <f>SUMPRODUCT(--(Risk_Register!$A$2:$A$301&lt;&gt;""),Risk_Register!$O$2:$O$301*(Risk_Register!$I$2:$I$301*$D11)*(Risk_Register!$J$2:$J$301*$E11)*(1-IF(Risk_Register!$H$2:$H$301*$C11&gt;1,1,Risk_Register!$H$2:$H$301*$C11))*Risk_Register!$M$2:$M$301)</f>
        <v/>
      </c>
      <c r="G11" s="16">
        <f>IF(IF($B11="",Setup!$B$4,$B11)="","",$F11/IF($B11="",Setup!$B$4,$B11))</f>
        <v/>
      </c>
      <c r="H11" s="16">
        <f>IF($G11="","",$G11-$G$9)</f>
        <v/>
      </c>
    </row>
    <row r="12">
      <c r="A12" s="16" t="inlineStr">
        <is>
          <t>Scenario_3</t>
        </is>
      </c>
      <c r="B12" s="11" t="inlineStr"/>
      <c r="C12" s="11" t="n">
        <v>1</v>
      </c>
      <c r="D12" s="11" t="n">
        <v>1</v>
      </c>
      <c r="E12" s="11" t="n">
        <v>0.9</v>
      </c>
      <c r="F12" s="16">
        <f>SUMPRODUCT(--(Risk_Register!$A$2:$A$301&lt;&gt;""),Risk_Register!$O$2:$O$301*(Risk_Register!$I$2:$I$301*$D12)*(Risk_Register!$J$2:$J$301*$E12)*(1-IF(Risk_Register!$H$2:$H$301*$C12&gt;1,1,Risk_Register!$H$2:$H$301*$C12))*Risk_Register!$M$2:$M$301)</f>
        <v/>
      </c>
      <c r="G12" s="16">
        <f>IF(IF($B12="",Setup!$B$4,$B12)="","",$F12/IF($B12="",Setup!$B$4,$B12))</f>
        <v/>
      </c>
      <c r="H12" s="16">
        <f>IF($G12="","",$G12-$G$9)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dataValidations count="1">
    <dataValidation sqref="B9:E12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6" customWidth="1" min="4" max="4"/>
    <col width="14" customWidth="1" min="5" max="5"/>
    <col width="18" customWidth="1" min="6" max="6"/>
    <col hidden="1" width="13" customWidth="1" min="7" max="7"/>
  </cols>
  <sheetData>
    <row r="1">
      <c r="A1" s="1" t="inlineStr">
        <is>
          <t>Summary Exports (Governance-ready)</t>
        </is>
      </c>
    </row>
    <row r="3">
      <c r="A3" s="2" t="inlineStr">
        <is>
          <t>Key Outputs</t>
        </is>
      </c>
      <c r="D3" s="2" t="inlineStr">
        <is>
          <t>Domain × Σ TRE_i</t>
        </is>
      </c>
    </row>
    <row r="4">
      <c r="A4" s="18" t="inlineStr">
        <is>
          <t>G (Total)</t>
        </is>
      </c>
      <c r="B4" s="19">
        <f>Dashboard!B4</f>
        <v/>
      </c>
      <c r="D4" s="4" t="inlineStr">
        <is>
          <t>Domain</t>
        </is>
      </c>
      <c r="E4" s="4" t="inlineStr">
        <is>
          <t>Σ TRE_i</t>
        </is>
      </c>
    </row>
    <row r="5">
      <c r="A5" s="18" t="inlineStr">
        <is>
          <t>A (Capacity)</t>
        </is>
      </c>
      <c r="B5" s="19">
        <f>Setup!B4</f>
        <v/>
      </c>
      <c r="D5" s="6" t="inlineStr">
        <is>
          <t>Technology</t>
        </is>
      </c>
      <c r="E5" s="7">
        <f>SUMIF(Risk_Register!$C$2:$C$301,$D5,Risk_Register!$Q$2:$Q$301)</f>
        <v/>
      </c>
    </row>
    <row r="6">
      <c r="A6" s="18" t="inlineStr">
        <is>
          <t>LR = G / A</t>
        </is>
      </c>
      <c r="B6" s="19">
        <f>Dashboard!B6</f>
        <v/>
      </c>
      <c r="D6" s="6" t="inlineStr">
        <is>
          <t>Operations</t>
        </is>
      </c>
      <c r="E6" s="7">
        <f>SUMIF(Risk_Register!$C$2:$C$301,$D6,Risk_Register!$Q$2:$Q$301)</f>
        <v/>
      </c>
    </row>
    <row r="7">
      <c r="A7" s="18" t="inlineStr">
        <is>
          <t>G_E (Escalating)</t>
        </is>
      </c>
      <c r="B7" s="19">
        <f>Dashboard!I5</f>
        <v/>
      </c>
      <c r="D7" s="6" t="inlineStr">
        <is>
          <t>Compliance</t>
        </is>
      </c>
      <c r="E7" s="7">
        <f>SUMIF(Risk_Register!$C$2:$C$301,$D7,Risk_Register!$Q$2:$Q$301)</f>
        <v/>
      </c>
    </row>
    <row r="8">
      <c r="A8" s="18" t="inlineStr">
        <is>
          <t>LR_E</t>
        </is>
      </c>
      <c r="B8" s="19">
        <f>Dashboard!I8</f>
        <v/>
      </c>
      <c r="D8" s="6" t="inlineStr">
        <is>
          <t>Security</t>
        </is>
      </c>
      <c r="E8" s="7">
        <f>SUMIF(Risk_Register!$C$2:$C$301,$D8,Risk_Register!$Q$2:$Q$301)</f>
        <v/>
      </c>
    </row>
    <row r="9">
      <c r="D9" s="6" t="inlineStr">
        <is>
          <t>Strategy</t>
        </is>
      </c>
      <c r="E9" s="7">
        <f>SUMIF(Risk_Register!$C$2:$C$301,$D9,Risk_Register!$Q$2:$Q$301)</f>
        <v/>
      </c>
    </row>
    <row r="10">
      <c r="D10" s="6" t="inlineStr">
        <is>
          <t>Supply Chain</t>
        </is>
      </c>
      <c r="E10" s="7">
        <f>SUMIF(Risk_Register!$C$2:$C$301,$D10,Risk_Register!$Q$2:$Q$301)</f>
        <v/>
      </c>
    </row>
    <row r="11">
      <c r="A11" s="2" t="inlineStr">
        <is>
          <t>Top Risks (Stable by TRE_i)</t>
        </is>
      </c>
    </row>
    <row r="12">
      <c r="A12" s="4" t="inlineStr">
        <is>
          <t>Rank</t>
        </is>
      </c>
      <c r="B12" s="4" t="inlineStr">
        <is>
          <t>Risk_ID</t>
        </is>
      </c>
      <c r="C12" s="4" t="inlineStr">
        <is>
          <t>Risk_Name</t>
        </is>
      </c>
      <c r="D12" s="4" t="inlineStr">
        <is>
          <t>Domain</t>
        </is>
      </c>
      <c r="E12" s="4" t="inlineStr">
        <is>
          <t>TRE_i</t>
        </is>
      </c>
      <c r="F12" s="4" t="inlineStr">
        <is>
          <t>Erosion_Flag</t>
        </is>
      </c>
    </row>
    <row r="13">
      <c r="A13" s="7" t="n">
        <v>1</v>
      </c>
      <c r="B13" s="7">
        <f>IF($G13="","",INDEX(Risk_Register!$A$2:$A$301,MATCH($G13,Risk_Register!$T$2:$T$301,0)))</f>
        <v/>
      </c>
      <c r="C13" s="6">
        <f>IF($B13="","",INDEX(Risk_Register!$B$2:$B$301,MATCH($G13,Risk_Register!$T$2:$T$301,0)))</f>
        <v/>
      </c>
      <c r="D13" s="4">
        <f>IF($B13="","",INDEX(Risk_Register!$C$2:$C$301,MATCH($G13,Risk_Register!$T$2:$T$301,0)))</f>
        <v/>
      </c>
      <c r="E13" s="4">
        <f>IF($B13="","",INDEX(Risk_Register!$Q$2:$Q$301,MATCH($G13,Risk_Register!$T$2:$T$301,0)))</f>
        <v/>
      </c>
      <c r="F13" s="7">
        <f>IF($B13="","",INDEX(Risk_Register!$R$2:$R$301,MATCH($G13,Risk_Register!$T$2:$T$301,0)))</f>
        <v/>
      </c>
      <c r="G13" s="7">
        <f>IFERROR(LARGE(Risk_Register!$T$2:$T$301,1),"")</f>
        <v/>
      </c>
    </row>
    <row r="14">
      <c r="A14" s="7" t="n">
        <v>2</v>
      </c>
      <c r="B14" s="7">
        <f>IF($G14="","",INDEX(Risk_Register!$A$2:$A$301,MATCH($G14,Risk_Register!$T$2:$T$301,0)))</f>
        <v/>
      </c>
      <c r="C14" s="6">
        <f>IF($B14="","",INDEX(Risk_Register!$B$2:$B$301,MATCH($G14,Risk_Register!$T$2:$T$301,0)))</f>
        <v/>
      </c>
      <c r="D14" s="7">
        <f>IF($B14="","",INDEX(Risk_Register!$C$2:$C$301,MATCH($G14,Risk_Register!$T$2:$T$301,0)))</f>
        <v/>
      </c>
      <c r="E14" s="7">
        <f>IF($B14="","",INDEX(Risk_Register!$Q$2:$Q$301,MATCH($G14,Risk_Register!$T$2:$T$301,0)))</f>
        <v/>
      </c>
      <c r="F14" s="7">
        <f>IF($B14="","",INDEX(Risk_Register!$R$2:$R$301,MATCH($G14,Risk_Register!$T$2:$T$301,0)))</f>
        <v/>
      </c>
      <c r="G14" s="7">
        <f>IFERROR(LARGE(Risk_Register!$T$2:$T$301,2),"")</f>
        <v/>
      </c>
    </row>
    <row r="15">
      <c r="A15" s="7" t="n">
        <v>3</v>
      </c>
      <c r="B15" s="7">
        <f>IF($G15="","",INDEX(Risk_Register!$A$2:$A$301,MATCH($G15,Risk_Register!$T$2:$T$301,0)))</f>
        <v/>
      </c>
      <c r="C15" s="6">
        <f>IF($B15="","",INDEX(Risk_Register!$B$2:$B$301,MATCH($G15,Risk_Register!$T$2:$T$301,0)))</f>
        <v/>
      </c>
      <c r="D15" s="7">
        <f>IF($B15="","",INDEX(Risk_Register!$C$2:$C$301,MATCH($G15,Risk_Register!$T$2:$T$301,0)))</f>
        <v/>
      </c>
      <c r="E15" s="7">
        <f>IF($B15="","",INDEX(Risk_Register!$Q$2:$Q$301,MATCH($G15,Risk_Register!$T$2:$T$301,0)))</f>
        <v/>
      </c>
      <c r="F15" s="7">
        <f>IF($B15="","",INDEX(Risk_Register!$R$2:$R$301,MATCH($G15,Risk_Register!$T$2:$T$301,0)))</f>
        <v/>
      </c>
      <c r="G15" s="7">
        <f>IFERROR(LARGE(Risk_Register!$T$2:$T$301,3),"")</f>
        <v/>
      </c>
    </row>
    <row r="16">
      <c r="A16" s="7" t="n">
        <v>4</v>
      </c>
      <c r="B16" s="7">
        <f>IF($G16="","",INDEX(Risk_Register!$A$2:$A$301,MATCH($G16,Risk_Register!$T$2:$T$301,0)))</f>
        <v/>
      </c>
      <c r="C16" s="6">
        <f>IF($B16="","",INDEX(Risk_Register!$B$2:$B$301,MATCH($G16,Risk_Register!$T$2:$T$301,0)))</f>
        <v/>
      </c>
      <c r="D16" s="7">
        <f>IF($B16="","",INDEX(Risk_Register!$C$2:$C$301,MATCH($G16,Risk_Register!$T$2:$T$301,0)))</f>
        <v/>
      </c>
      <c r="E16" s="7">
        <f>IF($B16="","",INDEX(Risk_Register!$Q$2:$Q$301,MATCH($G16,Risk_Register!$T$2:$T$301,0)))</f>
        <v/>
      </c>
      <c r="F16" s="7">
        <f>IF($B16="","",INDEX(Risk_Register!$R$2:$R$301,MATCH($G16,Risk_Register!$T$2:$T$301,0)))</f>
        <v/>
      </c>
      <c r="G16" s="7">
        <f>IFERROR(LARGE(Risk_Register!$T$2:$T$301,4),"")</f>
        <v/>
      </c>
    </row>
    <row r="17">
      <c r="A17" s="7" t="n">
        <v>5</v>
      </c>
      <c r="B17" s="7">
        <f>IF($G17="","",INDEX(Risk_Register!$A$2:$A$301,MATCH($G17,Risk_Register!$T$2:$T$301,0)))</f>
        <v/>
      </c>
      <c r="C17" s="6">
        <f>IF($B17="","",INDEX(Risk_Register!$B$2:$B$301,MATCH($G17,Risk_Register!$T$2:$T$301,0)))</f>
        <v/>
      </c>
      <c r="D17" s="7">
        <f>IF($B17="","",INDEX(Risk_Register!$C$2:$C$301,MATCH($G17,Risk_Register!$T$2:$T$301,0)))</f>
        <v/>
      </c>
      <c r="E17" s="7">
        <f>IF($B17="","",INDEX(Risk_Register!$Q$2:$Q$301,MATCH($G17,Risk_Register!$T$2:$T$301,0)))</f>
        <v/>
      </c>
      <c r="F17" s="7">
        <f>IF($B17="","",INDEX(Risk_Register!$R$2:$R$301,MATCH($G17,Risk_Register!$T$2:$T$301,0)))</f>
        <v/>
      </c>
      <c r="G17" s="7">
        <f>IFERROR(LARGE(Risk_Register!$T$2:$T$301,5),"")</f>
        <v/>
      </c>
    </row>
    <row r="18">
      <c r="A18" s="7" t="n">
        <v>6</v>
      </c>
      <c r="B18" s="7">
        <f>IF($G18="","",INDEX(Risk_Register!$A$2:$A$301,MATCH($G18,Risk_Register!$T$2:$T$301,0)))</f>
        <v/>
      </c>
      <c r="C18" s="6">
        <f>IF($B18="","",INDEX(Risk_Register!$B$2:$B$301,MATCH($G18,Risk_Register!$T$2:$T$301,0)))</f>
        <v/>
      </c>
      <c r="D18" s="7">
        <f>IF($B18="","",INDEX(Risk_Register!$C$2:$C$301,MATCH($G18,Risk_Register!$T$2:$T$301,0)))</f>
        <v/>
      </c>
      <c r="E18" s="7">
        <f>IF($B18="","",INDEX(Risk_Register!$Q$2:$Q$301,MATCH($G18,Risk_Register!$T$2:$T$301,0)))</f>
        <v/>
      </c>
      <c r="F18" s="7">
        <f>IF($B18="","",INDEX(Risk_Register!$R$2:$R$301,MATCH($G18,Risk_Register!$T$2:$T$301,0)))</f>
        <v/>
      </c>
      <c r="G18" s="7">
        <f>IFERROR(LARGE(Risk_Register!$T$2:$T$301,6),"")</f>
        <v/>
      </c>
    </row>
    <row r="19">
      <c r="A19" s="7" t="n">
        <v>7</v>
      </c>
      <c r="B19" s="7">
        <f>IF($G19="","",INDEX(Risk_Register!$A$2:$A$301,MATCH($G19,Risk_Register!$T$2:$T$301,0)))</f>
        <v/>
      </c>
      <c r="C19" s="6">
        <f>IF($B19="","",INDEX(Risk_Register!$B$2:$B$301,MATCH($G19,Risk_Register!$T$2:$T$301,0)))</f>
        <v/>
      </c>
      <c r="D19" s="7">
        <f>IF($B19="","",INDEX(Risk_Register!$C$2:$C$301,MATCH($G19,Risk_Register!$T$2:$T$301,0)))</f>
        <v/>
      </c>
      <c r="E19" s="7">
        <f>IF($B19="","",INDEX(Risk_Register!$Q$2:$Q$301,MATCH($G19,Risk_Register!$T$2:$T$301,0)))</f>
        <v/>
      </c>
      <c r="F19" s="7">
        <f>IF($B19="","",INDEX(Risk_Register!$R$2:$R$301,MATCH($G19,Risk_Register!$T$2:$T$301,0)))</f>
        <v/>
      </c>
      <c r="G19" s="7">
        <f>IFERROR(LARGE(Risk_Register!$T$2:$T$301,7),"")</f>
        <v/>
      </c>
    </row>
    <row r="20">
      <c r="A20" s="7" t="n">
        <v>8</v>
      </c>
      <c r="B20" s="7">
        <f>IF($G20="","",INDEX(Risk_Register!$A$2:$A$301,MATCH($G20,Risk_Register!$T$2:$T$301,0)))</f>
        <v/>
      </c>
      <c r="C20" s="6">
        <f>IF($B20="","",INDEX(Risk_Register!$B$2:$B$301,MATCH($G20,Risk_Register!$T$2:$T$301,0)))</f>
        <v/>
      </c>
      <c r="D20" s="7">
        <f>IF($B20="","",INDEX(Risk_Register!$C$2:$C$301,MATCH($G20,Risk_Register!$T$2:$T$301,0)))</f>
        <v/>
      </c>
      <c r="E20" s="7">
        <f>IF($B20="","",INDEX(Risk_Register!$Q$2:$Q$301,MATCH($G20,Risk_Register!$T$2:$T$301,0)))</f>
        <v/>
      </c>
      <c r="F20" s="7">
        <f>IF($B20="","",INDEX(Risk_Register!$R$2:$R$301,MATCH($G20,Risk_Register!$T$2:$T$301,0)))</f>
        <v/>
      </c>
      <c r="G20" s="7">
        <f>IFERROR(LARGE(Risk_Register!$T$2:$T$301,8),"")</f>
        <v/>
      </c>
    </row>
    <row r="21">
      <c r="A21" s="7" t="n">
        <v>9</v>
      </c>
      <c r="B21" s="7">
        <f>IF($G21="","",INDEX(Risk_Register!$A$2:$A$301,MATCH($G21,Risk_Register!$T$2:$T$301,0)))</f>
        <v/>
      </c>
      <c r="C21" s="6">
        <f>IF($B21="","",INDEX(Risk_Register!$B$2:$B$301,MATCH($G21,Risk_Register!$T$2:$T$301,0)))</f>
        <v/>
      </c>
      <c r="D21" s="7">
        <f>IF($B21="","",INDEX(Risk_Register!$C$2:$C$301,MATCH($G21,Risk_Register!$T$2:$T$301,0)))</f>
        <v/>
      </c>
      <c r="E21" s="7">
        <f>IF($B21="","",INDEX(Risk_Register!$Q$2:$Q$301,MATCH($G21,Risk_Register!$T$2:$T$301,0)))</f>
        <v/>
      </c>
      <c r="F21" s="7">
        <f>IF($B21="","",INDEX(Risk_Register!$R$2:$R$301,MATCH($G21,Risk_Register!$T$2:$T$301,0)))</f>
        <v/>
      </c>
      <c r="G21" s="7">
        <f>IFERROR(LARGE(Risk_Register!$T$2:$T$301,9),"")</f>
        <v/>
      </c>
    </row>
    <row r="22">
      <c r="A22" s="7" t="n">
        <v>10</v>
      </c>
      <c r="B22" s="7">
        <f>IF($G22="","",INDEX(Risk_Register!$A$2:$A$301,MATCH($G22,Risk_Register!$T$2:$T$301,0)))</f>
        <v/>
      </c>
      <c r="C22" s="6">
        <f>IF($B22="","",INDEX(Risk_Register!$B$2:$B$301,MATCH($G22,Risk_Register!$T$2:$T$301,0)))</f>
        <v/>
      </c>
      <c r="D22" s="7">
        <f>IF($B22="","",INDEX(Risk_Register!$C$2:$C$301,MATCH($G22,Risk_Register!$T$2:$T$301,0)))</f>
        <v/>
      </c>
      <c r="E22" s="7">
        <f>IF($B22="","",INDEX(Risk_Register!$Q$2:$Q$301,MATCH($G22,Risk_Register!$T$2:$T$301,0)))</f>
        <v/>
      </c>
      <c r="F22" s="7">
        <f>IF($B22="","",INDEX(Risk_Register!$R$2:$R$301,MATCH($G22,Risk_Register!$T$2:$T$301,0)))</f>
        <v/>
      </c>
      <c r="G22" s="7">
        <f>IFERROR(LARGE(Risk_Register!$T$2:$T$301,10),"")</f>
        <v/>
      </c>
    </row>
    <row r="23">
      <c r="A23" s="7" t="n">
        <v>11</v>
      </c>
      <c r="B23" s="7">
        <f>IF($G23="","",INDEX(Risk_Register!$A$2:$A$301,MATCH($G23,Risk_Register!$T$2:$T$301,0)))</f>
        <v/>
      </c>
      <c r="C23" s="6">
        <f>IF($B23="","",INDEX(Risk_Register!$B$2:$B$301,MATCH($G23,Risk_Register!$T$2:$T$301,0)))</f>
        <v/>
      </c>
      <c r="D23" s="7">
        <f>IF($B23="","",INDEX(Risk_Register!$C$2:$C$301,MATCH($G23,Risk_Register!$T$2:$T$301,0)))</f>
        <v/>
      </c>
      <c r="E23" s="7">
        <f>IF($B23="","",INDEX(Risk_Register!$Q$2:$Q$301,MATCH($G23,Risk_Register!$T$2:$T$301,0)))</f>
        <v/>
      </c>
      <c r="F23" s="7">
        <f>IF($B23="","",INDEX(Risk_Register!$R$2:$R$301,MATCH($G23,Risk_Register!$T$2:$T$301,0)))</f>
        <v/>
      </c>
      <c r="G23" s="7">
        <f>IFERROR(LARGE(Risk_Register!$T$2:$T$301,11),"")</f>
        <v/>
      </c>
    </row>
    <row r="24">
      <c r="A24" s="7" t="n">
        <v>12</v>
      </c>
      <c r="B24" s="7">
        <f>IF($G24="","",INDEX(Risk_Register!$A$2:$A$301,MATCH($G24,Risk_Register!$T$2:$T$301,0)))</f>
        <v/>
      </c>
      <c r="C24" s="6">
        <f>IF($B24="","",INDEX(Risk_Register!$B$2:$B$301,MATCH($G24,Risk_Register!$T$2:$T$301,0)))</f>
        <v/>
      </c>
      <c r="D24" s="7">
        <f>IF($B24="","",INDEX(Risk_Register!$C$2:$C$301,MATCH($G24,Risk_Register!$T$2:$T$301,0)))</f>
        <v/>
      </c>
      <c r="E24" s="7">
        <f>IF($B24="","",INDEX(Risk_Register!$Q$2:$Q$301,MATCH($G24,Risk_Register!$T$2:$T$301,0)))</f>
        <v/>
      </c>
      <c r="F24" s="7">
        <f>IF($B24="","",INDEX(Risk_Register!$R$2:$R$301,MATCH($G24,Risk_Register!$T$2:$T$301,0)))</f>
        <v/>
      </c>
      <c r="G24" s="7">
        <f>IFERROR(LARGE(Risk_Register!$T$2:$T$301,12),"")</f>
        <v/>
      </c>
    </row>
    <row r="25">
      <c r="A25" s="7" t="n">
        <v>13</v>
      </c>
      <c r="B25" s="7">
        <f>IF($G25="","",INDEX(Risk_Register!$A$2:$A$301,MATCH($G25,Risk_Register!$T$2:$T$301,0)))</f>
        <v/>
      </c>
      <c r="C25" s="6">
        <f>IF($B25="","",INDEX(Risk_Register!$B$2:$B$301,MATCH($G25,Risk_Register!$T$2:$T$301,0)))</f>
        <v/>
      </c>
      <c r="D25" s="7">
        <f>IF($B25="","",INDEX(Risk_Register!$C$2:$C$301,MATCH($G25,Risk_Register!$T$2:$T$301,0)))</f>
        <v/>
      </c>
      <c r="E25" s="7">
        <f>IF($B25="","",INDEX(Risk_Register!$Q$2:$Q$301,MATCH($G25,Risk_Register!$T$2:$T$301,0)))</f>
        <v/>
      </c>
      <c r="F25" s="7">
        <f>IF($B25="","",INDEX(Risk_Register!$R$2:$R$301,MATCH($G25,Risk_Register!$T$2:$T$301,0)))</f>
        <v/>
      </c>
      <c r="G25" s="7">
        <f>IFERROR(LARGE(Risk_Register!$T$2:$T$301,13),"")</f>
        <v/>
      </c>
    </row>
    <row r="26">
      <c r="A26" s="7" t="n">
        <v>14</v>
      </c>
      <c r="B26" s="7">
        <f>IF($G26="","",INDEX(Risk_Register!$A$2:$A$301,MATCH($G26,Risk_Register!$T$2:$T$301,0)))</f>
        <v/>
      </c>
      <c r="C26" s="6">
        <f>IF($B26="","",INDEX(Risk_Register!$B$2:$B$301,MATCH($G26,Risk_Register!$T$2:$T$301,0)))</f>
        <v/>
      </c>
      <c r="D26" s="7">
        <f>IF($B26="","",INDEX(Risk_Register!$C$2:$C$301,MATCH($G26,Risk_Register!$T$2:$T$301,0)))</f>
        <v/>
      </c>
      <c r="E26" s="7">
        <f>IF($B26="","",INDEX(Risk_Register!$Q$2:$Q$301,MATCH($G26,Risk_Register!$T$2:$T$301,0)))</f>
        <v/>
      </c>
      <c r="F26" s="7">
        <f>IF($B26="","",INDEX(Risk_Register!$R$2:$R$301,MATCH($G26,Risk_Register!$T$2:$T$301,0)))</f>
        <v/>
      </c>
      <c r="G26" s="7">
        <f>IFERROR(LARGE(Risk_Register!$T$2:$T$301,14),"")</f>
        <v/>
      </c>
    </row>
    <row r="27">
      <c r="A27" s="7" t="n">
        <v>15</v>
      </c>
      <c r="B27" s="7">
        <f>IF($G27="","",INDEX(Risk_Register!$A$2:$A$301,MATCH($G27,Risk_Register!$T$2:$T$301,0)))</f>
        <v/>
      </c>
      <c r="C27" s="6">
        <f>IF($B27="","",INDEX(Risk_Register!$B$2:$B$301,MATCH($G27,Risk_Register!$T$2:$T$301,0)))</f>
        <v/>
      </c>
      <c r="D27" s="7">
        <f>IF($B27="","",INDEX(Risk_Register!$C$2:$C$301,MATCH($G27,Risk_Register!$T$2:$T$301,0)))</f>
        <v/>
      </c>
      <c r="E27" s="7">
        <f>IF($B27="","",INDEX(Risk_Register!$Q$2:$Q$301,MATCH($G27,Risk_Register!$T$2:$T$301,0)))</f>
        <v/>
      </c>
      <c r="F27" s="7">
        <f>IF($B27="","",INDEX(Risk_Register!$R$2:$R$301,MATCH($G27,Risk_Register!$T$2:$T$301,0)))</f>
        <v/>
      </c>
      <c r="G27" s="7">
        <f>IFERROR(LARGE(Risk_Register!$T$2:$T$301,15),"")</f>
        <v/>
      </c>
    </row>
    <row r="28">
      <c r="A28" s="7" t="n">
        <v>16</v>
      </c>
      <c r="B28" s="7">
        <f>IF($G28="","",INDEX(Risk_Register!$A$2:$A$301,MATCH($G28,Risk_Register!$T$2:$T$301,0)))</f>
        <v/>
      </c>
      <c r="C28" s="6">
        <f>IF($B28="","",INDEX(Risk_Register!$B$2:$B$301,MATCH($G28,Risk_Register!$T$2:$T$301,0)))</f>
        <v/>
      </c>
      <c r="D28" s="7">
        <f>IF($B28="","",INDEX(Risk_Register!$C$2:$C$301,MATCH($G28,Risk_Register!$T$2:$T$301,0)))</f>
        <v/>
      </c>
      <c r="E28" s="7">
        <f>IF($B28="","",INDEX(Risk_Register!$Q$2:$Q$301,MATCH($G28,Risk_Register!$T$2:$T$301,0)))</f>
        <v/>
      </c>
      <c r="F28" s="7">
        <f>IF($B28="","",INDEX(Risk_Register!$R$2:$R$301,MATCH($G28,Risk_Register!$T$2:$T$301,0)))</f>
        <v/>
      </c>
      <c r="G28" s="7">
        <f>IFERROR(LARGE(Risk_Register!$T$2:$T$301,16),"")</f>
        <v/>
      </c>
    </row>
    <row r="29">
      <c r="A29" s="7" t="n">
        <v>17</v>
      </c>
      <c r="B29" s="7">
        <f>IF($G29="","",INDEX(Risk_Register!$A$2:$A$301,MATCH($G29,Risk_Register!$T$2:$T$301,0)))</f>
        <v/>
      </c>
      <c r="C29" s="6">
        <f>IF($B29="","",INDEX(Risk_Register!$B$2:$B$301,MATCH($G29,Risk_Register!$T$2:$T$301,0)))</f>
        <v/>
      </c>
      <c r="D29" s="7">
        <f>IF($B29="","",INDEX(Risk_Register!$C$2:$C$301,MATCH($G29,Risk_Register!$T$2:$T$301,0)))</f>
        <v/>
      </c>
      <c r="E29" s="7">
        <f>IF($B29="","",INDEX(Risk_Register!$Q$2:$Q$301,MATCH($G29,Risk_Register!$T$2:$T$301,0)))</f>
        <v/>
      </c>
      <c r="F29" s="7">
        <f>IF($B29="","",INDEX(Risk_Register!$R$2:$R$301,MATCH($G29,Risk_Register!$T$2:$T$301,0)))</f>
        <v/>
      </c>
      <c r="G29" s="7">
        <f>IFERROR(LARGE(Risk_Register!$T$2:$T$301,17),"")</f>
        <v/>
      </c>
    </row>
    <row r="30">
      <c r="A30" s="7" t="n">
        <v>18</v>
      </c>
      <c r="B30" s="7">
        <f>IF($G30="","",INDEX(Risk_Register!$A$2:$A$301,MATCH($G30,Risk_Register!$T$2:$T$301,0)))</f>
        <v/>
      </c>
      <c r="C30" s="6">
        <f>IF($B30="","",INDEX(Risk_Register!$B$2:$B$301,MATCH($G30,Risk_Register!$T$2:$T$301,0)))</f>
        <v/>
      </c>
      <c r="D30" s="7">
        <f>IF($B30="","",INDEX(Risk_Register!$C$2:$C$301,MATCH($G30,Risk_Register!$T$2:$T$301,0)))</f>
        <v/>
      </c>
      <c r="E30" s="7">
        <f>IF($B30="","",INDEX(Risk_Register!$Q$2:$Q$301,MATCH($G30,Risk_Register!$T$2:$T$301,0)))</f>
        <v/>
      </c>
      <c r="F30" s="7">
        <f>IF($B30="","",INDEX(Risk_Register!$R$2:$R$301,MATCH($G30,Risk_Register!$T$2:$T$301,0)))</f>
        <v/>
      </c>
      <c r="G30" s="7">
        <f>IFERROR(LARGE(Risk_Register!$T$2:$T$301,18),"")</f>
        <v/>
      </c>
    </row>
    <row r="31">
      <c r="A31" s="7" t="n">
        <v>19</v>
      </c>
      <c r="B31" s="7">
        <f>IF($G31="","",INDEX(Risk_Register!$A$2:$A$301,MATCH($G31,Risk_Register!$T$2:$T$301,0)))</f>
        <v/>
      </c>
      <c r="C31" s="6">
        <f>IF($B31="","",INDEX(Risk_Register!$B$2:$B$301,MATCH($G31,Risk_Register!$T$2:$T$301,0)))</f>
        <v/>
      </c>
      <c r="D31" s="7">
        <f>IF($B31="","",INDEX(Risk_Register!$C$2:$C$301,MATCH($G31,Risk_Register!$T$2:$T$301,0)))</f>
        <v/>
      </c>
      <c r="E31" s="7">
        <f>IF($B31="","",INDEX(Risk_Register!$Q$2:$Q$301,MATCH($G31,Risk_Register!$T$2:$T$301,0)))</f>
        <v/>
      </c>
      <c r="F31" s="7">
        <f>IF($B31="","",INDEX(Risk_Register!$R$2:$R$301,MATCH($G31,Risk_Register!$T$2:$T$301,0)))</f>
        <v/>
      </c>
      <c r="G31" s="7">
        <f>IFERROR(LARGE(Risk_Register!$T$2:$T$301,19),"")</f>
        <v/>
      </c>
    </row>
    <row r="32">
      <c r="A32" s="7" t="n">
        <v>20</v>
      </c>
      <c r="B32" s="7">
        <f>IF($G32="","",INDEX(Risk_Register!$A$2:$A$301,MATCH($G32,Risk_Register!$T$2:$T$301,0)))</f>
        <v/>
      </c>
      <c r="C32" s="6">
        <f>IF($B32="","",INDEX(Risk_Register!$B$2:$B$301,MATCH($G32,Risk_Register!$T$2:$T$301,0)))</f>
        <v/>
      </c>
      <c r="D32" s="7">
        <f>IF($B32="","",INDEX(Risk_Register!$C$2:$C$301,MATCH($G32,Risk_Register!$T$2:$T$301,0)))</f>
        <v/>
      </c>
      <c r="E32" s="7">
        <f>IF($B32="","",INDEX(Risk_Register!$Q$2:$Q$301,MATCH($G32,Risk_Register!$T$2:$T$301,0)))</f>
        <v/>
      </c>
      <c r="F32" s="7">
        <f>IF($B32="","",INDEX(Risk_Register!$R$2:$R$301,MATCH($G32,Risk_Register!$T$2:$T$301,0)))</f>
        <v/>
      </c>
      <c r="G32" s="7">
        <f>IFERROR(LARGE(Risk_Register!$T$2:$T$301,20),"")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34" customWidth="1" min="8" max="8"/>
    <col width="22" customWidth="1" min="9" max="9"/>
  </cols>
  <sheetData>
    <row r="1">
      <c r="A1" s="1" t="inlineStr">
        <is>
          <t>Change Log (Audit Trail)</t>
        </is>
      </c>
    </row>
    <row r="3" ht="60" customHeight="1">
      <c r="A3" s="3" t="inlineStr">
        <is>
          <t>Record edits to risk inputs or governance assumptions.
Without macros, Excel cannot automatically capture editor identity; treat this as an operational discipline.
Tip: After entries, copy column B and paste values to freeze timestamps.</t>
        </is>
      </c>
    </row>
    <row r="5">
      <c r="A5" s="4" t="inlineStr">
        <is>
          <t>Change_ID</t>
        </is>
      </c>
      <c r="B5" s="4" t="inlineStr">
        <is>
          <t>Date_Time</t>
        </is>
      </c>
      <c r="C5" s="4" t="inlineStr">
        <is>
          <t>Editor</t>
        </is>
      </c>
      <c r="D5" s="4" t="inlineStr">
        <is>
          <t>Risk_ID</t>
        </is>
      </c>
      <c r="E5" s="4" t="inlineStr">
        <is>
          <t>Field</t>
        </is>
      </c>
      <c r="F5" s="4" t="inlineStr">
        <is>
          <t>Old_Value</t>
        </is>
      </c>
      <c r="G5" s="4" t="inlineStr">
        <is>
          <t>New_Value</t>
        </is>
      </c>
      <c r="H5" s="4" t="inlineStr">
        <is>
          <t>Reason / Evidence</t>
        </is>
      </c>
      <c r="I5" s="4" t="inlineStr">
        <is>
          <t>Scenario_Impacted (Y/N)</t>
        </is>
      </c>
    </row>
    <row r="6">
      <c r="A6" s="16">
        <f>IF($D6="","",ROW()-5)</f>
        <v/>
      </c>
      <c r="B6" s="16">
        <f>IF($D6="","",NOW())</f>
        <v/>
      </c>
      <c r="C6" s="11" t="n"/>
      <c r="D6" s="11" t="n"/>
      <c r="E6" s="11" t="n"/>
      <c r="F6" s="11" t="n"/>
      <c r="G6" s="11" t="n"/>
      <c r="H6" s="12" t="n"/>
      <c r="I6" s="11" t="n"/>
    </row>
    <row r="7">
      <c r="A7" s="16">
        <f>IF($D7="","",ROW()-5)</f>
        <v/>
      </c>
      <c r="B7" s="16">
        <f>IF($D7="","",NOW())</f>
        <v/>
      </c>
      <c r="C7" s="11" t="n"/>
      <c r="D7" s="11" t="n"/>
      <c r="E7" s="11" t="n"/>
      <c r="F7" s="11" t="n"/>
      <c r="G7" s="11" t="n"/>
      <c r="H7" s="12" t="n"/>
      <c r="I7" s="11" t="n"/>
    </row>
    <row r="8">
      <c r="A8" s="16">
        <f>IF($D8="","",ROW()-5)</f>
        <v/>
      </c>
      <c r="B8" s="16">
        <f>IF($D8="","",NOW())</f>
        <v/>
      </c>
      <c r="C8" s="11" t="n"/>
      <c r="D8" s="11" t="n"/>
      <c r="E8" s="11" t="n"/>
      <c r="F8" s="11" t="n"/>
      <c r="G8" s="11" t="n"/>
      <c r="H8" s="12" t="n"/>
      <c r="I8" s="11" t="n"/>
    </row>
    <row r="9">
      <c r="A9" s="16">
        <f>IF($D9="","",ROW()-5)</f>
        <v/>
      </c>
      <c r="B9" s="16">
        <f>IF($D9="","",NOW())</f>
        <v/>
      </c>
      <c r="C9" s="11" t="n"/>
      <c r="D9" s="11" t="n"/>
      <c r="E9" s="11" t="n"/>
      <c r="F9" s="11" t="n"/>
      <c r="G9" s="11" t="n"/>
      <c r="H9" s="12" t="n"/>
      <c r="I9" s="11" t="n"/>
    </row>
    <row r="10">
      <c r="A10" s="16">
        <f>IF($D10="","",ROW()-5)</f>
        <v/>
      </c>
      <c r="B10" s="16">
        <f>IF($D10="","",NOW())</f>
        <v/>
      </c>
      <c r="C10" s="11" t="n"/>
      <c r="D10" s="11" t="n"/>
      <c r="E10" s="11" t="n"/>
      <c r="F10" s="11" t="n"/>
      <c r="G10" s="11" t="n"/>
      <c r="H10" s="12" t="n"/>
      <c r="I10" s="11" t="n"/>
    </row>
    <row r="11">
      <c r="A11" s="16">
        <f>IF($D11="","",ROW()-5)</f>
        <v/>
      </c>
      <c r="B11" s="16">
        <f>IF($D11="","",NOW())</f>
        <v/>
      </c>
      <c r="C11" s="11" t="n"/>
      <c r="D11" s="11" t="n"/>
      <c r="E11" s="11" t="n"/>
      <c r="F11" s="11" t="n"/>
      <c r="G11" s="11" t="n"/>
      <c r="H11" s="12" t="n"/>
      <c r="I11" s="11" t="n"/>
    </row>
    <row r="12">
      <c r="A12" s="16">
        <f>IF($D12="","",ROW()-5)</f>
        <v/>
      </c>
      <c r="B12" s="16">
        <f>IF($D12="","",NOW())</f>
        <v/>
      </c>
      <c r="C12" s="11" t="n"/>
      <c r="D12" s="11" t="n"/>
      <c r="E12" s="11" t="n"/>
      <c r="F12" s="11" t="n"/>
      <c r="G12" s="11" t="n"/>
      <c r="H12" s="12" t="n"/>
      <c r="I12" s="11" t="n"/>
    </row>
    <row r="13">
      <c r="A13" s="16">
        <f>IF($D13="","",ROW()-5)</f>
        <v/>
      </c>
      <c r="B13" s="16">
        <f>IF($D13="","",NOW())</f>
        <v/>
      </c>
      <c r="C13" s="11" t="n"/>
      <c r="D13" s="11" t="n"/>
      <c r="E13" s="11" t="n"/>
      <c r="F13" s="11" t="n"/>
      <c r="G13" s="11" t="n"/>
      <c r="H13" s="12" t="n"/>
      <c r="I13" s="11" t="n"/>
    </row>
    <row r="14">
      <c r="A14" s="16">
        <f>IF($D14="","",ROW()-5)</f>
        <v/>
      </c>
      <c r="B14" s="16">
        <f>IF($D14="","",NOW())</f>
        <v/>
      </c>
      <c r="C14" s="11" t="n"/>
      <c r="D14" s="11" t="n"/>
      <c r="E14" s="11" t="n"/>
      <c r="F14" s="11" t="n"/>
      <c r="G14" s="11" t="n"/>
      <c r="H14" s="12" t="n"/>
      <c r="I14" s="11" t="n"/>
    </row>
    <row r="15">
      <c r="A15" s="16">
        <f>IF($D15="","",ROW()-5)</f>
        <v/>
      </c>
      <c r="B15" s="16">
        <f>IF($D15="","",NOW())</f>
        <v/>
      </c>
      <c r="C15" s="11" t="n"/>
      <c r="D15" s="11" t="n"/>
      <c r="E15" s="11" t="n"/>
      <c r="F15" s="11" t="n"/>
      <c r="G15" s="11" t="n"/>
      <c r="H15" s="12" t="n"/>
      <c r="I15" s="11" t="n"/>
    </row>
    <row r="16">
      <c r="A16" s="16">
        <f>IF($D16="","",ROW()-5)</f>
        <v/>
      </c>
      <c r="B16" s="16">
        <f>IF($D16="","",NOW())</f>
        <v/>
      </c>
      <c r="C16" s="11" t="n"/>
      <c r="D16" s="11" t="n"/>
      <c r="E16" s="11" t="n"/>
      <c r="F16" s="11" t="n"/>
      <c r="G16" s="11" t="n"/>
      <c r="H16" s="12" t="n"/>
      <c r="I16" s="11" t="n"/>
    </row>
    <row r="17">
      <c r="A17" s="16">
        <f>IF($D17="","",ROW()-5)</f>
        <v/>
      </c>
      <c r="B17" s="16">
        <f>IF($D17="","",NOW())</f>
        <v/>
      </c>
      <c r="C17" s="11" t="n"/>
      <c r="D17" s="11" t="n"/>
      <c r="E17" s="11" t="n"/>
      <c r="F17" s="11" t="n"/>
      <c r="G17" s="11" t="n"/>
      <c r="H17" s="12" t="n"/>
      <c r="I17" s="11" t="n"/>
    </row>
    <row r="18">
      <c r="A18" s="16">
        <f>IF($D18="","",ROW()-5)</f>
        <v/>
      </c>
      <c r="B18" s="16">
        <f>IF($D18="","",NOW())</f>
        <v/>
      </c>
      <c r="C18" s="11" t="n"/>
      <c r="D18" s="11" t="n"/>
      <c r="E18" s="11" t="n"/>
      <c r="F18" s="11" t="n"/>
      <c r="G18" s="11" t="n"/>
      <c r="H18" s="12" t="n"/>
      <c r="I18" s="11" t="n"/>
    </row>
    <row r="19">
      <c r="A19" s="16">
        <f>IF($D19="","",ROW()-5)</f>
        <v/>
      </c>
      <c r="B19" s="16">
        <f>IF($D19="","",NOW())</f>
        <v/>
      </c>
      <c r="C19" s="11" t="n"/>
      <c r="D19" s="11" t="n"/>
      <c r="E19" s="11" t="n"/>
      <c r="F19" s="11" t="n"/>
      <c r="G19" s="11" t="n"/>
      <c r="H19" s="12" t="n"/>
      <c r="I19" s="11" t="n"/>
    </row>
    <row r="20">
      <c r="A20" s="16">
        <f>IF($D20="","",ROW()-5)</f>
        <v/>
      </c>
      <c r="B20" s="16">
        <f>IF($D20="","",NOW())</f>
        <v/>
      </c>
      <c r="C20" s="11" t="n"/>
      <c r="D20" s="11" t="n"/>
      <c r="E20" s="11" t="n"/>
      <c r="F20" s="11" t="n"/>
      <c r="G20" s="11" t="n"/>
      <c r="H20" s="12" t="n"/>
      <c r="I20" s="11" t="n"/>
    </row>
    <row r="21">
      <c r="A21" s="16">
        <f>IF($D21="","",ROW()-5)</f>
        <v/>
      </c>
      <c r="B21" s="16">
        <f>IF($D21="","",NOW())</f>
        <v/>
      </c>
      <c r="C21" s="11" t="n"/>
      <c r="D21" s="11" t="n"/>
      <c r="E21" s="11" t="n"/>
      <c r="F21" s="11" t="n"/>
      <c r="G21" s="11" t="n"/>
      <c r="H21" s="12" t="n"/>
      <c r="I21" s="11" t="n"/>
    </row>
    <row r="22">
      <c r="A22" s="16">
        <f>IF($D22="","",ROW()-5)</f>
        <v/>
      </c>
      <c r="B22" s="16">
        <f>IF($D22="","",NOW())</f>
        <v/>
      </c>
      <c r="C22" s="11" t="n"/>
      <c r="D22" s="11" t="n"/>
      <c r="E22" s="11" t="n"/>
      <c r="F22" s="11" t="n"/>
      <c r="G22" s="11" t="n"/>
      <c r="H22" s="12" t="n"/>
      <c r="I22" s="11" t="n"/>
    </row>
    <row r="23">
      <c r="A23" s="16">
        <f>IF($D23="","",ROW()-5)</f>
        <v/>
      </c>
      <c r="B23" s="16">
        <f>IF($D23="","",NOW())</f>
        <v/>
      </c>
      <c r="C23" s="11" t="n"/>
      <c r="D23" s="11" t="n"/>
      <c r="E23" s="11" t="n"/>
      <c r="F23" s="11" t="n"/>
      <c r="G23" s="11" t="n"/>
      <c r="H23" s="12" t="n"/>
      <c r="I23" s="11" t="n"/>
    </row>
    <row r="24">
      <c r="A24" s="16">
        <f>IF($D24="","",ROW()-5)</f>
        <v/>
      </c>
      <c r="B24" s="16">
        <f>IF($D24="","",NOW())</f>
        <v/>
      </c>
      <c r="C24" s="11" t="n"/>
      <c r="D24" s="11" t="n"/>
      <c r="E24" s="11" t="n"/>
      <c r="F24" s="11" t="n"/>
      <c r="G24" s="11" t="n"/>
      <c r="H24" s="12" t="n"/>
      <c r="I24" s="11" t="n"/>
    </row>
    <row r="25">
      <c r="A25" s="16">
        <f>IF($D25="","",ROW()-5)</f>
        <v/>
      </c>
      <c r="B25" s="16">
        <f>IF($D25="","",NOW())</f>
        <v/>
      </c>
      <c r="C25" s="11" t="n"/>
      <c r="D25" s="11" t="n"/>
      <c r="E25" s="11" t="n"/>
      <c r="F25" s="11" t="n"/>
      <c r="G25" s="11" t="n"/>
      <c r="H25" s="12" t="n"/>
      <c r="I25" s="11" t="n"/>
    </row>
    <row r="26">
      <c r="A26" s="16">
        <f>IF($D26="","",ROW()-5)</f>
        <v/>
      </c>
      <c r="B26" s="16">
        <f>IF($D26="","",NOW())</f>
        <v/>
      </c>
      <c r="C26" s="11" t="n"/>
      <c r="D26" s="11" t="n"/>
      <c r="E26" s="11" t="n"/>
      <c r="F26" s="11" t="n"/>
      <c r="G26" s="11" t="n"/>
      <c r="H26" s="12" t="n"/>
      <c r="I26" s="11" t="n"/>
    </row>
    <row r="27">
      <c r="A27" s="16">
        <f>IF($D27="","",ROW()-5)</f>
        <v/>
      </c>
      <c r="B27" s="16">
        <f>IF($D27="","",NOW())</f>
        <v/>
      </c>
      <c r="C27" s="11" t="n"/>
      <c r="D27" s="11" t="n"/>
      <c r="E27" s="11" t="n"/>
      <c r="F27" s="11" t="n"/>
      <c r="G27" s="11" t="n"/>
      <c r="H27" s="12" t="n"/>
      <c r="I27" s="11" t="n"/>
    </row>
    <row r="28">
      <c r="A28" s="16">
        <f>IF($D28="","",ROW()-5)</f>
        <v/>
      </c>
      <c r="B28" s="16">
        <f>IF($D28="","",NOW())</f>
        <v/>
      </c>
      <c r="C28" s="11" t="n"/>
      <c r="D28" s="11" t="n"/>
      <c r="E28" s="11" t="n"/>
      <c r="F28" s="11" t="n"/>
      <c r="G28" s="11" t="n"/>
      <c r="H28" s="12" t="n"/>
      <c r="I28" s="11" t="n"/>
    </row>
    <row r="29">
      <c r="A29" s="16">
        <f>IF($D29="","",ROW()-5)</f>
        <v/>
      </c>
      <c r="B29" s="16">
        <f>IF($D29="","",NOW())</f>
        <v/>
      </c>
      <c r="C29" s="11" t="n"/>
      <c r="D29" s="11" t="n"/>
      <c r="E29" s="11" t="n"/>
      <c r="F29" s="11" t="n"/>
      <c r="G29" s="11" t="n"/>
      <c r="H29" s="12" t="n"/>
      <c r="I29" s="11" t="n"/>
    </row>
    <row r="30">
      <c r="A30" s="16">
        <f>IF($D30="","",ROW()-5)</f>
        <v/>
      </c>
      <c r="B30" s="16">
        <f>IF($D30="","",NOW())</f>
        <v/>
      </c>
      <c r="C30" s="11" t="n"/>
      <c r="D30" s="11" t="n"/>
      <c r="E30" s="11" t="n"/>
      <c r="F30" s="11" t="n"/>
      <c r="G30" s="11" t="n"/>
      <c r="H30" s="12" t="n"/>
      <c r="I30" s="11" t="n"/>
    </row>
    <row r="31">
      <c r="A31" s="16">
        <f>IF($D31="","",ROW()-5)</f>
        <v/>
      </c>
      <c r="B31" s="16">
        <f>IF($D31="","",NOW())</f>
        <v/>
      </c>
      <c r="C31" s="11" t="n"/>
      <c r="D31" s="11" t="n"/>
      <c r="E31" s="11" t="n"/>
      <c r="F31" s="11" t="n"/>
      <c r="G31" s="11" t="n"/>
      <c r="H31" s="12" t="n"/>
      <c r="I31" s="11" t="n"/>
    </row>
    <row r="32">
      <c r="A32" s="16">
        <f>IF($D32="","",ROW()-5)</f>
        <v/>
      </c>
      <c r="B32" s="16">
        <f>IF($D32="","",NOW())</f>
        <v/>
      </c>
      <c r="C32" s="11" t="n"/>
      <c r="D32" s="11" t="n"/>
      <c r="E32" s="11" t="n"/>
      <c r="F32" s="11" t="n"/>
      <c r="G32" s="11" t="n"/>
      <c r="H32" s="12" t="n"/>
      <c r="I32" s="11" t="n"/>
    </row>
    <row r="33">
      <c r="A33" s="16">
        <f>IF($D33="","",ROW()-5)</f>
        <v/>
      </c>
      <c r="B33" s="16">
        <f>IF($D33="","",NOW())</f>
        <v/>
      </c>
      <c r="C33" s="11" t="n"/>
      <c r="D33" s="11" t="n"/>
      <c r="E33" s="11" t="n"/>
      <c r="F33" s="11" t="n"/>
      <c r="G33" s="11" t="n"/>
      <c r="H33" s="12" t="n"/>
      <c r="I33" s="11" t="n"/>
    </row>
    <row r="34">
      <c r="A34" s="16">
        <f>IF($D34="","",ROW()-5)</f>
        <v/>
      </c>
      <c r="B34" s="16">
        <f>IF($D34="","",NOW())</f>
        <v/>
      </c>
      <c r="C34" s="11" t="n"/>
      <c r="D34" s="11" t="n"/>
      <c r="E34" s="11" t="n"/>
      <c r="F34" s="11" t="n"/>
      <c r="G34" s="11" t="n"/>
      <c r="H34" s="12" t="n"/>
      <c r="I34" s="11" t="n"/>
    </row>
    <row r="35">
      <c r="A35" s="16">
        <f>IF($D35="","",ROW()-5)</f>
        <v/>
      </c>
      <c r="B35" s="16">
        <f>IF($D35="","",NOW())</f>
        <v/>
      </c>
      <c r="C35" s="11" t="n"/>
      <c r="D35" s="11" t="n"/>
      <c r="E35" s="11" t="n"/>
      <c r="F35" s="11" t="n"/>
      <c r="G35" s="11" t="n"/>
      <c r="H35" s="12" t="n"/>
      <c r="I35" s="11" t="n"/>
    </row>
    <row r="36">
      <c r="A36" s="16">
        <f>IF($D36="","",ROW()-5)</f>
        <v/>
      </c>
      <c r="B36" s="16">
        <f>IF($D36="","",NOW())</f>
        <v/>
      </c>
      <c r="C36" s="11" t="n"/>
      <c r="D36" s="11" t="n"/>
      <c r="E36" s="11" t="n"/>
      <c r="F36" s="11" t="n"/>
      <c r="G36" s="11" t="n"/>
      <c r="H36" s="12" t="n"/>
      <c r="I36" s="11" t="n"/>
    </row>
    <row r="37">
      <c r="A37" s="16">
        <f>IF($D37="","",ROW()-5)</f>
        <v/>
      </c>
      <c r="B37" s="16">
        <f>IF($D37="","",NOW())</f>
        <v/>
      </c>
      <c r="C37" s="11" t="n"/>
      <c r="D37" s="11" t="n"/>
      <c r="E37" s="11" t="n"/>
      <c r="F37" s="11" t="n"/>
      <c r="G37" s="11" t="n"/>
      <c r="H37" s="12" t="n"/>
      <c r="I37" s="11" t="n"/>
    </row>
    <row r="38">
      <c r="A38" s="16">
        <f>IF($D38="","",ROW()-5)</f>
        <v/>
      </c>
      <c r="B38" s="16">
        <f>IF($D38="","",NOW())</f>
        <v/>
      </c>
      <c r="C38" s="11" t="n"/>
      <c r="D38" s="11" t="n"/>
      <c r="E38" s="11" t="n"/>
      <c r="F38" s="11" t="n"/>
      <c r="G38" s="11" t="n"/>
      <c r="H38" s="12" t="n"/>
      <c r="I38" s="11" t="n"/>
    </row>
    <row r="39">
      <c r="A39" s="16">
        <f>IF($D39="","",ROW()-5)</f>
        <v/>
      </c>
      <c r="B39" s="16">
        <f>IF($D39="","",NOW())</f>
        <v/>
      </c>
      <c r="C39" s="11" t="n"/>
      <c r="D39" s="11" t="n"/>
      <c r="E39" s="11" t="n"/>
      <c r="F39" s="11" t="n"/>
      <c r="G39" s="11" t="n"/>
      <c r="H39" s="12" t="n"/>
      <c r="I39" s="11" t="n"/>
    </row>
    <row r="40">
      <c r="A40" s="16">
        <f>IF($D40="","",ROW()-5)</f>
        <v/>
      </c>
      <c r="B40" s="16">
        <f>IF($D40="","",NOW())</f>
        <v/>
      </c>
      <c r="C40" s="11" t="n"/>
      <c r="D40" s="11" t="n"/>
      <c r="E40" s="11" t="n"/>
      <c r="F40" s="11" t="n"/>
      <c r="G40" s="11" t="n"/>
      <c r="H40" s="12" t="n"/>
      <c r="I40" s="11" t="n"/>
    </row>
    <row r="41">
      <c r="A41" s="16">
        <f>IF($D41="","",ROW()-5)</f>
        <v/>
      </c>
      <c r="B41" s="16">
        <f>IF($D41="","",NOW())</f>
        <v/>
      </c>
      <c r="C41" s="11" t="n"/>
      <c r="D41" s="11" t="n"/>
      <c r="E41" s="11" t="n"/>
      <c r="F41" s="11" t="n"/>
      <c r="G41" s="11" t="n"/>
      <c r="H41" s="12" t="n"/>
      <c r="I41" s="11" t="n"/>
    </row>
    <row r="42">
      <c r="A42" s="16">
        <f>IF($D42="","",ROW()-5)</f>
        <v/>
      </c>
      <c r="B42" s="16">
        <f>IF($D42="","",NOW())</f>
        <v/>
      </c>
      <c r="C42" s="11" t="n"/>
      <c r="D42" s="11" t="n"/>
      <c r="E42" s="11" t="n"/>
      <c r="F42" s="11" t="n"/>
      <c r="G42" s="11" t="n"/>
      <c r="H42" s="12" t="n"/>
      <c r="I42" s="11" t="n"/>
    </row>
    <row r="43">
      <c r="A43" s="16">
        <f>IF($D43="","",ROW()-5)</f>
        <v/>
      </c>
      <c r="B43" s="16">
        <f>IF($D43="","",NOW())</f>
        <v/>
      </c>
      <c r="C43" s="11" t="n"/>
      <c r="D43" s="11" t="n"/>
      <c r="E43" s="11" t="n"/>
      <c r="F43" s="11" t="n"/>
      <c r="G43" s="11" t="n"/>
      <c r="H43" s="12" t="n"/>
      <c r="I43" s="11" t="n"/>
    </row>
    <row r="44">
      <c r="A44" s="16">
        <f>IF($D44="","",ROW()-5)</f>
        <v/>
      </c>
      <c r="B44" s="16">
        <f>IF($D44="","",NOW())</f>
        <v/>
      </c>
      <c r="C44" s="11" t="n"/>
      <c r="D44" s="11" t="n"/>
      <c r="E44" s="11" t="n"/>
      <c r="F44" s="11" t="n"/>
      <c r="G44" s="11" t="n"/>
      <c r="H44" s="12" t="n"/>
      <c r="I44" s="11" t="n"/>
    </row>
    <row r="45">
      <c r="A45" s="16">
        <f>IF($D45="","",ROW()-5)</f>
        <v/>
      </c>
      <c r="B45" s="16">
        <f>IF($D45="","",NOW())</f>
        <v/>
      </c>
      <c r="C45" s="11" t="n"/>
      <c r="D45" s="11" t="n"/>
      <c r="E45" s="11" t="n"/>
      <c r="F45" s="11" t="n"/>
      <c r="G45" s="11" t="n"/>
      <c r="H45" s="12" t="n"/>
      <c r="I45" s="11" t="n"/>
    </row>
    <row r="46">
      <c r="A46" s="16">
        <f>IF($D46="","",ROW()-5)</f>
        <v/>
      </c>
      <c r="B46" s="16">
        <f>IF($D46="","",NOW())</f>
        <v/>
      </c>
      <c r="C46" s="11" t="n"/>
      <c r="D46" s="11" t="n"/>
      <c r="E46" s="11" t="n"/>
      <c r="F46" s="11" t="n"/>
      <c r="G46" s="11" t="n"/>
      <c r="H46" s="12" t="n"/>
      <c r="I46" s="11" t="n"/>
    </row>
    <row r="47">
      <c r="A47" s="16">
        <f>IF($D47="","",ROW()-5)</f>
        <v/>
      </c>
      <c r="B47" s="16">
        <f>IF($D47="","",NOW())</f>
        <v/>
      </c>
      <c r="C47" s="11" t="n"/>
      <c r="D47" s="11" t="n"/>
      <c r="E47" s="11" t="n"/>
      <c r="F47" s="11" t="n"/>
      <c r="G47" s="11" t="n"/>
      <c r="H47" s="12" t="n"/>
      <c r="I47" s="11" t="n"/>
    </row>
    <row r="48">
      <c r="A48" s="16">
        <f>IF($D48="","",ROW()-5)</f>
        <v/>
      </c>
      <c r="B48" s="16">
        <f>IF($D48="","",NOW())</f>
        <v/>
      </c>
      <c r="C48" s="11" t="n"/>
      <c r="D48" s="11" t="n"/>
      <c r="E48" s="11" t="n"/>
      <c r="F48" s="11" t="n"/>
      <c r="G48" s="11" t="n"/>
      <c r="H48" s="12" t="n"/>
      <c r="I48" s="11" t="n"/>
    </row>
    <row r="49">
      <c r="A49" s="16">
        <f>IF($D49="","",ROW()-5)</f>
        <v/>
      </c>
      <c r="B49" s="16">
        <f>IF($D49="","",NOW())</f>
        <v/>
      </c>
      <c r="C49" s="11" t="n"/>
      <c r="D49" s="11" t="n"/>
      <c r="E49" s="11" t="n"/>
      <c r="F49" s="11" t="n"/>
      <c r="G49" s="11" t="n"/>
      <c r="H49" s="12" t="n"/>
      <c r="I49" s="11" t="n"/>
    </row>
    <row r="50">
      <c r="A50" s="16">
        <f>IF($D50="","",ROW()-5)</f>
        <v/>
      </c>
      <c r="B50" s="16">
        <f>IF($D50="","",NOW())</f>
        <v/>
      </c>
      <c r="C50" s="11" t="n"/>
      <c r="D50" s="11" t="n"/>
      <c r="E50" s="11" t="n"/>
      <c r="F50" s="11" t="n"/>
      <c r="G50" s="11" t="n"/>
      <c r="H50" s="12" t="n"/>
      <c r="I50" s="11" t="n"/>
    </row>
    <row r="51">
      <c r="A51" s="16">
        <f>IF($D51="","",ROW()-5)</f>
        <v/>
      </c>
      <c r="B51" s="16">
        <f>IF($D51="","",NOW())</f>
        <v/>
      </c>
      <c r="C51" s="11" t="n"/>
      <c r="D51" s="11" t="n"/>
      <c r="E51" s="11" t="n"/>
      <c r="F51" s="11" t="n"/>
      <c r="G51" s="11" t="n"/>
      <c r="H51" s="12" t="n"/>
      <c r="I51" s="11" t="n"/>
    </row>
    <row r="52">
      <c r="A52" s="16">
        <f>IF($D52="","",ROW()-5)</f>
        <v/>
      </c>
      <c r="B52" s="16">
        <f>IF($D52="","",NOW())</f>
        <v/>
      </c>
      <c r="C52" s="11" t="n"/>
      <c r="D52" s="11" t="n"/>
      <c r="E52" s="11" t="n"/>
      <c r="F52" s="11" t="n"/>
      <c r="G52" s="11" t="n"/>
      <c r="H52" s="12" t="n"/>
      <c r="I52" s="11" t="n"/>
    </row>
    <row r="53">
      <c r="A53" s="16">
        <f>IF($D53="","",ROW()-5)</f>
        <v/>
      </c>
      <c r="B53" s="16">
        <f>IF($D53="","",NOW())</f>
        <v/>
      </c>
      <c r="C53" s="11" t="n"/>
      <c r="D53" s="11" t="n"/>
      <c r="E53" s="11" t="n"/>
      <c r="F53" s="11" t="n"/>
      <c r="G53" s="11" t="n"/>
      <c r="H53" s="12" t="n"/>
      <c r="I53" s="11" t="n"/>
    </row>
    <row r="54">
      <c r="A54" s="16">
        <f>IF($D54="","",ROW()-5)</f>
        <v/>
      </c>
      <c r="B54" s="16">
        <f>IF($D54="","",NOW())</f>
        <v/>
      </c>
      <c r="C54" s="11" t="n"/>
      <c r="D54" s="11" t="n"/>
      <c r="E54" s="11" t="n"/>
      <c r="F54" s="11" t="n"/>
      <c r="G54" s="11" t="n"/>
      <c r="H54" s="12" t="n"/>
      <c r="I54" s="11" t="n"/>
    </row>
    <row r="55">
      <c r="A55" s="16">
        <f>IF($D55="","",ROW()-5)</f>
        <v/>
      </c>
      <c r="B55" s="16">
        <f>IF($D55="","",NOW())</f>
        <v/>
      </c>
      <c r="C55" s="11" t="n"/>
      <c r="D55" s="11" t="n"/>
      <c r="E55" s="11" t="n"/>
      <c r="F55" s="11" t="n"/>
      <c r="G55" s="11" t="n"/>
      <c r="H55" s="12" t="n"/>
      <c r="I55" s="11" t="n"/>
    </row>
    <row r="56">
      <c r="A56" s="16">
        <f>IF($D56="","",ROW()-5)</f>
        <v/>
      </c>
      <c r="B56" s="16">
        <f>IF($D56="","",NOW())</f>
        <v/>
      </c>
      <c r="C56" s="11" t="n"/>
      <c r="D56" s="11" t="n"/>
      <c r="E56" s="11" t="n"/>
      <c r="F56" s="11" t="n"/>
      <c r="G56" s="11" t="n"/>
      <c r="H56" s="12" t="n"/>
      <c r="I56" s="11" t="n"/>
    </row>
    <row r="57">
      <c r="A57" s="16">
        <f>IF($D57="","",ROW()-5)</f>
        <v/>
      </c>
      <c r="B57" s="16">
        <f>IF($D57="","",NOW())</f>
        <v/>
      </c>
      <c r="C57" s="11" t="n"/>
      <c r="D57" s="11" t="n"/>
      <c r="E57" s="11" t="n"/>
      <c r="F57" s="11" t="n"/>
      <c r="G57" s="11" t="n"/>
      <c r="H57" s="12" t="n"/>
      <c r="I57" s="11" t="n"/>
    </row>
    <row r="58">
      <c r="A58" s="16">
        <f>IF($D58="","",ROW()-5)</f>
        <v/>
      </c>
      <c r="B58" s="16">
        <f>IF($D58="","",NOW())</f>
        <v/>
      </c>
      <c r="C58" s="11" t="n"/>
      <c r="D58" s="11" t="n"/>
      <c r="E58" s="11" t="n"/>
      <c r="F58" s="11" t="n"/>
      <c r="G58" s="11" t="n"/>
      <c r="H58" s="12" t="n"/>
      <c r="I58" s="11" t="n"/>
    </row>
    <row r="59">
      <c r="A59" s="16">
        <f>IF($D59="","",ROW()-5)</f>
        <v/>
      </c>
      <c r="B59" s="16">
        <f>IF($D59="","",NOW())</f>
        <v/>
      </c>
      <c r="C59" s="11" t="n"/>
      <c r="D59" s="11" t="n"/>
      <c r="E59" s="11" t="n"/>
      <c r="F59" s="11" t="n"/>
      <c r="G59" s="11" t="n"/>
      <c r="H59" s="12" t="n"/>
      <c r="I59" s="11" t="n"/>
    </row>
    <row r="60">
      <c r="A60" s="16">
        <f>IF($D60="","",ROW()-5)</f>
        <v/>
      </c>
      <c r="B60" s="16">
        <f>IF($D60="","",NOW())</f>
        <v/>
      </c>
      <c r="C60" s="11" t="n"/>
      <c r="D60" s="11" t="n"/>
      <c r="E60" s="11" t="n"/>
      <c r="F60" s="11" t="n"/>
      <c r="G60" s="11" t="n"/>
      <c r="H60" s="12" t="n"/>
      <c r="I60" s="11" t="n"/>
    </row>
    <row r="61">
      <c r="A61" s="16">
        <f>IF($D61="","",ROW()-5)</f>
        <v/>
      </c>
      <c r="B61" s="16">
        <f>IF($D61="","",NOW())</f>
        <v/>
      </c>
      <c r="C61" s="11" t="n"/>
      <c r="D61" s="11" t="n"/>
      <c r="E61" s="11" t="n"/>
      <c r="F61" s="11" t="n"/>
      <c r="G61" s="11" t="n"/>
      <c r="H61" s="12" t="n"/>
      <c r="I61" s="11" t="n"/>
    </row>
    <row r="62">
      <c r="A62" s="16">
        <f>IF($D62="","",ROW()-5)</f>
        <v/>
      </c>
      <c r="B62" s="16">
        <f>IF($D62="","",NOW())</f>
        <v/>
      </c>
      <c r="C62" s="11" t="n"/>
      <c r="D62" s="11" t="n"/>
      <c r="E62" s="11" t="n"/>
      <c r="F62" s="11" t="n"/>
      <c r="G62" s="11" t="n"/>
      <c r="H62" s="12" t="n"/>
      <c r="I62" s="11" t="n"/>
    </row>
    <row r="63">
      <c r="A63" s="16">
        <f>IF($D63="","",ROW()-5)</f>
        <v/>
      </c>
      <c r="B63" s="16">
        <f>IF($D63="","",NOW())</f>
        <v/>
      </c>
      <c r="C63" s="11" t="n"/>
      <c r="D63" s="11" t="n"/>
      <c r="E63" s="11" t="n"/>
      <c r="F63" s="11" t="n"/>
      <c r="G63" s="11" t="n"/>
      <c r="H63" s="12" t="n"/>
      <c r="I63" s="11" t="n"/>
    </row>
    <row r="64">
      <c r="A64" s="16">
        <f>IF($D64="","",ROW()-5)</f>
        <v/>
      </c>
      <c r="B64" s="16">
        <f>IF($D64="","",NOW())</f>
        <v/>
      </c>
      <c r="C64" s="11" t="n"/>
      <c r="D64" s="11" t="n"/>
      <c r="E64" s="11" t="n"/>
      <c r="F64" s="11" t="n"/>
      <c r="G64" s="11" t="n"/>
      <c r="H64" s="12" t="n"/>
      <c r="I64" s="11" t="n"/>
    </row>
    <row r="65">
      <c r="A65" s="16">
        <f>IF($D65="","",ROW()-5)</f>
        <v/>
      </c>
      <c r="B65" s="16">
        <f>IF($D65="","",NOW())</f>
        <v/>
      </c>
      <c r="C65" s="11" t="n"/>
      <c r="D65" s="11" t="n"/>
      <c r="E65" s="11" t="n"/>
      <c r="F65" s="11" t="n"/>
      <c r="G65" s="11" t="n"/>
      <c r="H65" s="12" t="n"/>
      <c r="I65" s="11" t="n"/>
    </row>
    <row r="66">
      <c r="A66" s="16">
        <f>IF($D66="","",ROW()-5)</f>
        <v/>
      </c>
      <c r="B66" s="16">
        <f>IF($D66="","",NOW())</f>
        <v/>
      </c>
      <c r="C66" s="11" t="n"/>
      <c r="D66" s="11" t="n"/>
      <c r="E66" s="11" t="n"/>
      <c r="F66" s="11" t="n"/>
      <c r="G66" s="11" t="n"/>
      <c r="H66" s="12" t="n"/>
      <c r="I66" s="11" t="n"/>
    </row>
    <row r="67">
      <c r="A67" s="16">
        <f>IF($D67="","",ROW()-5)</f>
        <v/>
      </c>
      <c r="B67" s="16">
        <f>IF($D67="","",NOW())</f>
        <v/>
      </c>
      <c r="C67" s="11" t="n"/>
      <c r="D67" s="11" t="n"/>
      <c r="E67" s="11" t="n"/>
      <c r="F67" s="11" t="n"/>
      <c r="G67" s="11" t="n"/>
      <c r="H67" s="12" t="n"/>
      <c r="I67" s="11" t="n"/>
    </row>
    <row r="68">
      <c r="A68" s="16">
        <f>IF($D68="","",ROW()-5)</f>
        <v/>
      </c>
      <c r="B68" s="16">
        <f>IF($D68="","",NOW())</f>
        <v/>
      </c>
      <c r="C68" s="11" t="n"/>
      <c r="D68" s="11" t="n"/>
      <c r="E68" s="11" t="n"/>
      <c r="F68" s="11" t="n"/>
      <c r="G68" s="11" t="n"/>
      <c r="H68" s="12" t="n"/>
      <c r="I68" s="11" t="n"/>
    </row>
    <row r="69">
      <c r="A69" s="16">
        <f>IF($D69="","",ROW()-5)</f>
        <v/>
      </c>
      <c r="B69" s="16">
        <f>IF($D69="","",NOW())</f>
        <v/>
      </c>
      <c r="C69" s="11" t="n"/>
      <c r="D69" s="11" t="n"/>
      <c r="E69" s="11" t="n"/>
      <c r="F69" s="11" t="n"/>
      <c r="G69" s="11" t="n"/>
      <c r="H69" s="12" t="n"/>
      <c r="I69" s="11" t="n"/>
    </row>
    <row r="70">
      <c r="A70" s="16">
        <f>IF($D70="","",ROW()-5)</f>
        <v/>
      </c>
      <c r="B70" s="16">
        <f>IF($D70="","",NOW())</f>
        <v/>
      </c>
      <c r="C70" s="11" t="n"/>
      <c r="D70" s="11" t="n"/>
      <c r="E70" s="11" t="n"/>
      <c r="F70" s="11" t="n"/>
      <c r="G70" s="11" t="n"/>
      <c r="H70" s="12" t="n"/>
      <c r="I70" s="11" t="n"/>
    </row>
    <row r="71">
      <c r="A71" s="16">
        <f>IF($D71="","",ROW()-5)</f>
        <v/>
      </c>
      <c r="B71" s="16">
        <f>IF($D71="","",NOW())</f>
        <v/>
      </c>
      <c r="C71" s="11" t="n"/>
      <c r="D71" s="11" t="n"/>
      <c r="E71" s="11" t="n"/>
      <c r="F71" s="11" t="n"/>
      <c r="G71" s="11" t="n"/>
      <c r="H71" s="12" t="n"/>
      <c r="I71" s="11" t="n"/>
    </row>
    <row r="72">
      <c r="A72" s="16">
        <f>IF($D72="","",ROW()-5)</f>
        <v/>
      </c>
      <c r="B72" s="16">
        <f>IF($D72="","",NOW())</f>
        <v/>
      </c>
      <c r="C72" s="11" t="n"/>
      <c r="D72" s="11" t="n"/>
      <c r="E72" s="11" t="n"/>
      <c r="F72" s="11" t="n"/>
      <c r="G72" s="11" t="n"/>
      <c r="H72" s="12" t="n"/>
      <c r="I72" s="11" t="n"/>
    </row>
    <row r="73">
      <c r="A73" s="16">
        <f>IF($D73="","",ROW()-5)</f>
        <v/>
      </c>
      <c r="B73" s="16">
        <f>IF($D73="","",NOW())</f>
        <v/>
      </c>
      <c r="C73" s="11" t="n"/>
      <c r="D73" s="11" t="n"/>
      <c r="E73" s="11" t="n"/>
      <c r="F73" s="11" t="n"/>
      <c r="G73" s="11" t="n"/>
      <c r="H73" s="12" t="n"/>
      <c r="I73" s="11" t="n"/>
    </row>
    <row r="74">
      <c r="A74" s="16">
        <f>IF($D74="","",ROW()-5)</f>
        <v/>
      </c>
      <c r="B74" s="16">
        <f>IF($D74="","",NOW())</f>
        <v/>
      </c>
      <c r="C74" s="11" t="n"/>
      <c r="D74" s="11" t="n"/>
      <c r="E74" s="11" t="n"/>
      <c r="F74" s="11" t="n"/>
      <c r="G74" s="11" t="n"/>
      <c r="H74" s="12" t="n"/>
      <c r="I74" s="11" t="n"/>
    </row>
    <row r="75">
      <c r="A75" s="16">
        <f>IF($D75="","",ROW()-5)</f>
        <v/>
      </c>
      <c r="B75" s="16">
        <f>IF($D75="","",NOW())</f>
        <v/>
      </c>
      <c r="C75" s="11" t="n"/>
      <c r="D75" s="11" t="n"/>
      <c r="E75" s="11" t="n"/>
      <c r="F75" s="11" t="n"/>
      <c r="G75" s="11" t="n"/>
      <c r="H75" s="12" t="n"/>
      <c r="I75" s="11" t="n"/>
    </row>
    <row r="76">
      <c r="A76" s="16">
        <f>IF($D76="","",ROW()-5)</f>
        <v/>
      </c>
      <c r="B76" s="16">
        <f>IF($D76="","",NOW())</f>
        <v/>
      </c>
      <c r="C76" s="11" t="n"/>
      <c r="D76" s="11" t="n"/>
      <c r="E76" s="11" t="n"/>
      <c r="F76" s="11" t="n"/>
      <c r="G76" s="11" t="n"/>
      <c r="H76" s="12" t="n"/>
      <c r="I76" s="11" t="n"/>
    </row>
    <row r="77">
      <c r="A77" s="16">
        <f>IF($D77="","",ROW()-5)</f>
        <v/>
      </c>
      <c r="B77" s="16">
        <f>IF($D77="","",NOW())</f>
        <v/>
      </c>
      <c r="C77" s="11" t="n"/>
      <c r="D77" s="11" t="n"/>
      <c r="E77" s="11" t="n"/>
      <c r="F77" s="11" t="n"/>
      <c r="G77" s="11" t="n"/>
      <c r="H77" s="12" t="n"/>
      <c r="I77" s="11" t="n"/>
    </row>
    <row r="78">
      <c r="A78" s="16">
        <f>IF($D78="","",ROW()-5)</f>
        <v/>
      </c>
      <c r="B78" s="16">
        <f>IF($D78="","",NOW())</f>
        <v/>
      </c>
      <c r="C78" s="11" t="n"/>
      <c r="D78" s="11" t="n"/>
      <c r="E78" s="11" t="n"/>
      <c r="F78" s="11" t="n"/>
      <c r="G78" s="11" t="n"/>
      <c r="H78" s="12" t="n"/>
      <c r="I78" s="11" t="n"/>
    </row>
    <row r="79">
      <c r="A79" s="16">
        <f>IF($D79="","",ROW()-5)</f>
        <v/>
      </c>
      <c r="B79" s="16">
        <f>IF($D79="","",NOW())</f>
        <v/>
      </c>
      <c r="C79" s="11" t="n"/>
      <c r="D79" s="11" t="n"/>
      <c r="E79" s="11" t="n"/>
      <c r="F79" s="11" t="n"/>
      <c r="G79" s="11" t="n"/>
      <c r="H79" s="12" t="n"/>
      <c r="I79" s="11" t="n"/>
    </row>
    <row r="80">
      <c r="A80" s="16">
        <f>IF($D80="","",ROW()-5)</f>
        <v/>
      </c>
      <c r="B80" s="16">
        <f>IF($D80="","",NOW())</f>
        <v/>
      </c>
      <c r="C80" s="11" t="n"/>
      <c r="D80" s="11" t="n"/>
      <c r="E80" s="11" t="n"/>
      <c r="F80" s="11" t="n"/>
      <c r="G80" s="11" t="n"/>
      <c r="H80" s="12" t="n"/>
      <c r="I80" s="11" t="n"/>
    </row>
    <row r="81">
      <c r="A81" s="16">
        <f>IF($D81="","",ROW()-5)</f>
        <v/>
      </c>
      <c r="B81" s="16">
        <f>IF($D81="","",NOW())</f>
        <v/>
      </c>
      <c r="C81" s="11" t="n"/>
      <c r="D81" s="11" t="n"/>
      <c r="E81" s="11" t="n"/>
      <c r="F81" s="11" t="n"/>
      <c r="G81" s="11" t="n"/>
      <c r="H81" s="12" t="n"/>
      <c r="I81" s="11" t="n"/>
    </row>
    <row r="82">
      <c r="A82" s="16">
        <f>IF($D82="","",ROW()-5)</f>
        <v/>
      </c>
      <c r="B82" s="16">
        <f>IF($D82="","",NOW())</f>
        <v/>
      </c>
      <c r="C82" s="11" t="n"/>
      <c r="D82" s="11" t="n"/>
      <c r="E82" s="11" t="n"/>
      <c r="F82" s="11" t="n"/>
      <c r="G82" s="11" t="n"/>
      <c r="H82" s="12" t="n"/>
      <c r="I82" s="11" t="n"/>
    </row>
    <row r="83">
      <c r="A83" s="16">
        <f>IF($D83="","",ROW()-5)</f>
        <v/>
      </c>
      <c r="B83" s="16">
        <f>IF($D83="","",NOW())</f>
        <v/>
      </c>
      <c r="C83" s="11" t="n"/>
      <c r="D83" s="11" t="n"/>
      <c r="E83" s="11" t="n"/>
      <c r="F83" s="11" t="n"/>
      <c r="G83" s="11" t="n"/>
      <c r="H83" s="12" t="n"/>
      <c r="I83" s="11" t="n"/>
    </row>
    <row r="84">
      <c r="A84" s="16">
        <f>IF($D84="","",ROW()-5)</f>
        <v/>
      </c>
      <c r="B84" s="16">
        <f>IF($D84="","",NOW())</f>
        <v/>
      </c>
      <c r="C84" s="11" t="n"/>
      <c r="D84" s="11" t="n"/>
      <c r="E84" s="11" t="n"/>
      <c r="F84" s="11" t="n"/>
      <c r="G84" s="11" t="n"/>
      <c r="H84" s="12" t="n"/>
      <c r="I84" s="11" t="n"/>
    </row>
    <row r="85">
      <c r="A85" s="16">
        <f>IF($D85="","",ROW()-5)</f>
        <v/>
      </c>
      <c r="B85" s="16">
        <f>IF($D85="","",NOW())</f>
        <v/>
      </c>
      <c r="C85" s="11" t="n"/>
      <c r="D85" s="11" t="n"/>
      <c r="E85" s="11" t="n"/>
      <c r="F85" s="11" t="n"/>
      <c r="G85" s="11" t="n"/>
      <c r="H85" s="12" t="n"/>
      <c r="I85" s="11" t="n"/>
    </row>
    <row r="86">
      <c r="A86" s="16">
        <f>IF($D86="","",ROW()-5)</f>
        <v/>
      </c>
      <c r="B86" s="16">
        <f>IF($D86="","",NOW())</f>
        <v/>
      </c>
      <c r="C86" s="11" t="n"/>
      <c r="D86" s="11" t="n"/>
      <c r="E86" s="11" t="n"/>
      <c r="F86" s="11" t="n"/>
      <c r="G86" s="11" t="n"/>
      <c r="H86" s="12" t="n"/>
      <c r="I86" s="11" t="n"/>
    </row>
    <row r="87">
      <c r="A87" s="16">
        <f>IF($D87="","",ROW()-5)</f>
        <v/>
      </c>
      <c r="B87" s="16">
        <f>IF($D87="","",NOW())</f>
        <v/>
      </c>
      <c r="C87" s="11" t="n"/>
      <c r="D87" s="11" t="n"/>
      <c r="E87" s="11" t="n"/>
      <c r="F87" s="11" t="n"/>
      <c r="G87" s="11" t="n"/>
      <c r="H87" s="12" t="n"/>
      <c r="I87" s="11" t="n"/>
    </row>
    <row r="88">
      <c r="A88" s="16">
        <f>IF($D88="","",ROW()-5)</f>
        <v/>
      </c>
      <c r="B88" s="16">
        <f>IF($D88="","",NOW())</f>
        <v/>
      </c>
      <c r="C88" s="11" t="n"/>
      <c r="D88" s="11" t="n"/>
      <c r="E88" s="11" t="n"/>
      <c r="F88" s="11" t="n"/>
      <c r="G88" s="11" t="n"/>
      <c r="H88" s="12" t="n"/>
      <c r="I88" s="11" t="n"/>
    </row>
    <row r="89">
      <c r="A89" s="16">
        <f>IF($D89="","",ROW()-5)</f>
        <v/>
      </c>
      <c r="B89" s="16">
        <f>IF($D89="","",NOW())</f>
        <v/>
      </c>
      <c r="C89" s="11" t="n"/>
      <c r="D89" s="11" t="n"/>
      <c r="E89" s="11" t="n"/>
      <c r="F89" s="11" t="n"/>
      <c r="G89" s="11" t="n"/>
      <c r="H89" s="12" t="n"/>
      <c r="I89" s="11" t="n"/>
    </row>
    <row r="90">
      <c r="A90" s="16">
        <f>IF($D90="","",ROW()-5)</f>
        <v/>
      </c>
      <c r="B90" s="16">
        <f>IF($D90="","",NOW())</f>
        <v/>
      </c>
      <c r="C90" s="11" t="n"/>
      <c r="D90" s="11" t="n"/>
      <c r="E90" s="11" t="n"/>
      <c r="F90" s="11" t="n"/>
      <c r="G90" s="11" t="n"/>
      <c r="H90" s="12" t="n"/>
      <c r="I90" s="11" t="n"/>
    </row>
    <row r="91">
      <c r="A91" s="16">
        <f>IF($D91="","",ROW()-5)</f>
        <v/>
      </c>
      <c r="B91" s="16">
        <f>IF($D91="","",NOW())</f>
        <v/>
      </c>
      <c r="C91" s="11" t="n"/>
      <c r="D91" s="11" t="n"/>
      <c r="E91" s="11" t="n"/>
      <c r="F91" s="11" t="n"/>
      <c r="G91" s="11" t="n"/>
      <c r="H91" s="12" t="n"/>
      <c r="I91" s="11" t="n"/>
    </row>
    <row r="92">
      <c r="A92" s="16">
        <f>IF($D92="","",ROW()-5)</f>
        <v/>
      </c>
      <c r="B92" s="16">
        <f>IF($D92="","",NOW())</f>
        <v/>
      </c>
      <c r="C92" s="11" t="n"/>
      <c r="D92" s="11" t="n"/>
      <c r="E92" s="11" t="n"/>
      <c r="F92" s="11" t="n"/>
      <c r="G92" s="11" t="n"/>
      <c r="H92" s="12" t="n"/>
      <c r="I92" s="11" t="n"/>
    </row>
    <row r="93">
      <c r="A93" s="16">
        <f>IF($D93="","",ROW()-5)</f>
        <v/>
      </c>
      <c r="B93" s="16">
        <f>IF($D93="","",NOW())</f>
        <v/>
      </c>
      <c r="C93" s="11" t="n"/>
      <c r="D93" s="11" t="n"/>
      <c r="E93" s="11" t="n"/>
      <c r="F93" s="11" t="n"/>
      <c r="G93" s="11" t="n"/>
      <c r="H93" s="12" t="n"/>
      <c r="I93" s="11" t="n"/>
    </row>
    <row r="94">
      <c r="A94" s="16">
        <f>IF($D94="","",ROW()-5)</f>
        <v/>
      </c>
      <c r="B94" s="16">
        <f>IF($D94="","",NOW())</f>
        <v/>
      </c>
      <c r="C94" s="11" t="n"/>
      <c r="D94" s="11" t="n"/>
      <c r="E94" s="11" t="n"/>
      <c r="F94" s="11" t="n"/>
      <c r="G94" s="11" t="n"/>
      <c r="H94" s="12" t="n"/>
      <c r="I94" s="11" t="n"/>
    </row>
    <row r="95">
      <c r="A95" s="16">
        <f>IF($D95="","",ROW()-5)</f>
        <v/>
      </c>
      <c r="B95" s="16">
        <f>IF($D95="","",NOW())</f>
        <v/>
      </c>
      <c r="C95" s="11" t="n"/>
      <c r="D95" s="11" t="n"/>
      <c r="E95" s="11" t="n"/>
      <c r="F95" s="11" t="n"/>
      <c r="G95" s="11" t="n"/>
      <c r="H95" s="12" t="n"/>
      <c r="I95" s="11" t="n"/>
    </row>
    <row r="96">
      <c r="A96" s="16">
        <f>IF($D96="","",ROW()-5)</f>
        <v/>
      </c>
      <c r="B96" s="16">
        <f>IF($D96="","",NOW())</f>
        <v/>
      </c>
      <c r="C96" s="11" t="n"/>
      <c r="D96" s="11" t="n"/>
      <c r="E96" s="11" t="n"/>
      <c r="F96" s="11" t="n"/>
      <c r="G96" s="11" t="n"/>
      <c r="H96" s="12" t="n"/>
      <c r="I96" s="11" t="n"/>
    </row>
    <row r="97">
      <c r="A97" s="16">
        <f>IF($D97="","",ROW()-5)</f>
        <v/>
      </c>
      <c r="B97" s="16">
        <f>IF($D97="","",NOW())</f>
        <v/>
      </c>
      <c r="C97" s="11" t="n"/>
      <c r="D97" s="11" t="n"/>
      <c r="E97" s="11" t="n"/>
      <c r="F97" s="11" t="n"/>
      <c r="G97" s="11" t="n"/>
      <c r="H97" s="12" t="n"/>
      <c r="I97" s="11" t="n"/>
    </row>
    <row r="98">
      <c r="A98" s="16">
        <f>IF($D98="","",ROW()-5)</f>
        <v/>
      </c>
      <c r="B98" s="16">
        <f>IF($D98="","",NOW())</f>
        <v/>
      </c>
      <c r="C98" s="11" t="n"/>
      <c r="D98" s="11" t="n"/>
      <c r="E98" s="11" t="n"/>
      <c r="F98" s="11" t="n"/>
      <c r="G98" s="11" t="n"/>
      <c r="H98" s="12" t="n"/>
      <c r="I98" s="11" t="n"/>
    </row>
    <row r="99">
      <c r="A99" s="16">
        <f>IF($D99="","",ROW()-5)</f>
        <v/>
      </c>
      <c r="B99" s="16">
        <f>IF($D99="","",NOW())</f>
        <v/>
      </c>
      <c r="C99" s="11" t="n"/>
      <c r="D99" s="11" t="n"/>
      <c r="E99" s="11" t="n"/>
      <c r="F99" s="11" t="n"/>
      <c r="G99" s="11" t="n"/>
      <c r="H99" s="12" t="n"/>
      <c r="I99" s="11" t="n"/>
    </row>
    <row r="100">
      <c r="A100" s="16">
        <f>IF($D100="","",ROW()-5)</f>
        <v/>
      </c>
      <c r="B100" s="16">
        <f>IF($D100="","",NOW())</f>
        <v/>
      </c>
      <c r="C100" s="11" t="n"/>
      <c r="D100" s="11" t="n"/>
      <c r="E100" s="11" t="n"/>
      <c r="F100" s="11" t="n"/>
      <c r="G100" s="11" t="n"/>
      <c r="H100" s="12" t="n"/>
      <c r="I100" s="11" t="n"/>
    </row>
    <row r="101">
      <c r="A101" s="16">
        <f>IF($D101="","",ROW()-5)</f>
        <v/>
      </c>
      <c r="B101" s="16">
        <f>IF($D101="","",NOW())</f>
        <v/>
      </c>
      <c r="C101" s="11" t="n"/>
      <c r="D101" s="11" t="n"/>
      <c r="E101" s="11" t="n"/>
      <c r="F101" s="11" t="n"/>
      <c r="G101" s="11" t="n"/>
      <c r="H101" s="12" t="n"/>
      <c r="I101" s="11" t="n"/>
    </row>
    <row r="102">
      <c r="A102" s="16">
        <f>IF($D102="","",ROW()-5)</f>
        <v/>
      </c>
      <c r="B102" s="16">
        <f>IF($D102="","",NOW())</f>
        <v/>
      </c>
      <c r="C102" s="11" t="n"/>
      <c r="D102" s="11" t="n"/>
      <c r="E102" s="11" t="n"/>
      <c r="F102" s="11" t="n"/>
      <c r="G102" s="11" t="n"/>
      <c r="H102" s="12" t="n"/>
      <c r="I102" s="11" t="n"/>
    </row>
    <row r="103">
      <c r="A103" s="16">
        <f>IF($D103="","",ROW()-5)</f>
        <v/>
      </c>
      <c r="B103" s="16">
        <f>IF($D103="","",NOW())</f>
        <v/>
      </c>
      <c r="C103" s="11" t="n"/>
      <c r="D103" s="11" t="n"/>
      <c r="E103" s="11" t="n"/>
      <c r="F103" s="11" t="n"/>
      <c r="G103" s="11" t="n"/>
      <c r="H103" s="12" t="n"/>
      <c r="I103" s="11" t="n"/>
    </row>
    <row r="104">
      <c r="A104" s="16">
        <f>IF($D104="","",ROW()-5)</f>
        <v/>
      </c>
      <c r="B104" s="16">
        <f>IF($D104="","",NOW())</f>
        <v/>
      </c>
      <c r="C104" s="11" t="n"/>
      <c r="D104" s="11" t="n"/>
      <c r="E104" s="11" t="n"/>
      <c r="F104" s="11" t="n"/>
      <c r="G104" s="11" t="n"/>
      <c r="H104" s="12" t="n"/>
      <c r="I104" s="11" t="n"/>
    </row>
    <row r="105">
      <c r="A105" s="16">
        <f>IF($D105="","",ROW()-5)</f>
        <v/>
      </c>
      <c r="B105" s="16">
        <f>IF($D105="","",NOW())</f>
        <v/>
      </c>
      <c r="C105" s="11" t="n"/>
      <c r="D105" s="11" t="n"/>
      <c r="E105" s="11" t="n"/>
      <c r="F105" s="11" t="n"/>
      <c r="G105" s="11" t="n"/>
      <c r="H105" s="12" t="n"/>
      <c r="I105" s="11" t="n"/>
    </row>
    <row r="106">
      <c r="A106" s="16">
        <f>IF($D106="","",ROW()-5)</f>
        <v/>
      </c>
      <c r="B106" s="16">
        <f>IF($D106="","",NOW())</f>
        <v/>
      </c>
      <c r="C106" s="11" t="n"/>
      <c r="D106" s="11" t="n"/>
      <c r="E106" s="11" t="n"/>
      <c r="F106" s="11" t="n"/>
      <c r="G106" s="11" t="n"/>
      <c r="H106" s="12" t="n"/>
      <c r="I106" s="11" t="n"/>
    </row>
    <row r="107">
      <c r="A107" s="16">
        <f>IF($D107="","",ROW()-5)</f>
        <v/>
      </c>
      <c r="B107" s="16">
        <f>IF($D107="","",NOW())</f>
        <v/>
      </c>
      <c r="C107" s="11" t="n"/>
      <c r="D107" s="11" t="n"/>
      <c r="E107" s="11" t="n"/>
      <c r="F107" s="11" t="n"/>
      <c r="G107" s="11" t="n"/>
      <c r="H107" s="12" t="n"/>
      <c r="I107" s="11" t="n"/>
    </row>
    <row r="108">
      <c r="A108" s="16">
        <f>IF($D108="","",ROW()-5)</f>
        <v/>
      </c>
      <c r="B108" s="16">
        <f>IF($D108="","",NOW())</f>
        <v/>
      </c>
      <c r="C108" s="11" t="n"/>
      <c r="D108" s="11" t="n"/>
      <c r="E108" s="11" t="n"/>
      <c r="F108" s="11" t="n"/>
      <c r="G108" s="11" t="n"/>
      <c r="H108" s="12" t="n"/>
      <c r="I108" s="11" t="n"/>
    </row>
    <row r="109">
      <c r="A109" s="16">
        <f>IF($D109="","",ROW()-5)</f>
        <v/>
      </c>
      <c r="B109" s="16">
        <f>IF($D109="","",NOW())</f>
        <v/>
      </c>
      <c r="C109" s="11" t="n"/>
      <c r="D109" s="11" t="n"/>
      <c r="E109" s="11" t="n"/>
      <c r="F109" s="11" t="n"/>
      <c r="G109" s="11" t="n"/>
      <c r="H109" s="12" t="n"/>
      <c r="I109" s="11" t="n"/>
    </row>
    <row r="110">
      <c r="A110" s="16">
        <f>IF($D110="","",ROW()-5)</f>
        <v/>
      </c>
      <c r="B110" s="16">
        <f>IF($D110="","",NOW())</f>
        <v/>
      </c>
      <c r="C110" s="11" t="n"/>
      <c r="D110" s="11" t="n"/>
      <c r="E110" s="11" t="n"/>
      <c r="F110" s="11" t="n"/>
      <c r="G110" s="11" t="n"/>
      <c r="H110" s="12" t="n"/>
      <c r="I110" s="11" t="n"/>
    </row>
    <row r="111">
      <c r="A111" s="16">
        <f>IF($D111="","",ROW()-5)</f>
        <v/>
      </c>
      <c r="B111" s="16">
        <f>IF($D111="","",NOW())</f>
        <v/>
      </c>
      <c r="C111" s="11" t="n"/>
      <c r="D111" s="11" t="n"/>
      <c r="E111" s="11" t="n"/>
      <c r="F111" s="11" t="n"/>
      <c r="G111" s="11" t="n"/>
      <c r="H111" s="12" t="n"/>
      <c r="I111" s="11" t="n"/>
    </row>
    <row r="112">
      <c r="A112" s="16">
        <f>IF($D112="","",ROW()-5)</f>
        <v/>
      </c>
      <c r="B112" s="16">
        <f>IF($D112="","",NOW())</f>
        <v/>
      </c>
      <c r="C112" s="11" t="n"/>
      <c r="D112" s="11" t="n"/>
      <c r="E112" s="11" t="n"/>
      <c r="F112" s="11" t="n"/>
      <c r="G112" s="11" t="n"/>
      <c r="H112" s="12" t="n"/>
      <c r="I112" s="11" t="n"/>
    </row>
    <row r="113">
      <c r="A113" s="16">
        <f>IF($D113="","",ROW()-5)</f>
        <v/>
      </c>
      <c r="B113" s="16">
        <f>IF($D113="","",NOW())</f>
        <v/>
      </c>
      <c r="C113" s="11" t="n"/>
      <c r="D113" s="11" t="n"/>
      <c r="E113" s="11" t="n"/>
      <c r="F113" s="11" t="n"/>
      <c r="G113" s="11" t="n"/>
      <c r="H113" s="12" t="n"/>
      <c r="I113" s="11" t="n"/>
    </row>
    <row r="114">
      <c r="A114" s="16">
        <f>IF($D114="","",ROW()-5)</f>
        <v/>
      </c>
      <c r="B114" s="16">
        <f>IF($D114="","",NOW())</f>
        <v/>
      </c>
      <c r="C114" s="11" t="n"/>
      <c r="D114" s="11" t="n"/>
      <c r="E114" s="11" t="n"/>
      <c r="F114" s="11" t="n"/>
      <c r="G114" s="11" t="n"/>
      <c r="H114" s="12" t="n"/>
      <c r="I114" s="11" t="n"/>
    </row>
    <row r="115">
      <c r="A115" s="16">
        <f>IF($D115="","",ROW()-5)</f>
        <v/>
      </c>
      <c r="B115" s="16">
        <f>IF($D115="","",NOW())</f>
        <v/>
      </c>
      <c r="C115" s="11" t="n"/>
      <c r="D115" s="11" t="n"/>
      <c r="E115" s="11" t="n"/>
      <c r="F115" s="11" t="n"/>
      <c r="G115" s="11" t="n"/>
      <c r="H115" s="12" t="n"/>
      <c r="I115" s="11" t="n"/>
    </row>
    <row r="116">
      <c r="A116" s="16">
        <f>IF($D116="","",ROW()-5)</f>
        <v/>
      </c>
      <c r="B116" s="16">
        <f>IF($D116="","",NOW())</f>
        <v/>
      </c>
      <c r="C116" s="11" t="n"/>
      <c r="D116" s="11" t="n"/>
      <c r="E116" s="11" t="n"/>
      <c r="F116" s="11" t="n"/>
      <c r="G116" s="11" t="n"/>
      <c r="H116" s="12" t="n"/>
      <c r="I116" s="11" t="n"/>
    </row>
    <row r="117">
      <c r="A117" s="16">
        <f>IF($D117="","",ROW()-5)</f>
        <v/>
      </c>
      <c r="B117" s="16">
        <f>IF($D117="","",NOW())</f>
        <v/>
      </c>
      <c r="C117" s="11" t="n"/>
      <c r="D117" s="11" t="n"/>
      <c r="E117" s="11" t="n"/>
      <c r="F117" s="11" t="n"/>
      <c r="G117" s="11" t="n"/>
      <c r="H117" s="12" t="n"/>
      <c r="I117" s="11" t="n"/>
    </row>
    <row r="118">
      <c r="A118" s="16">
        <f>IF($D118="","",ROW()-5)</f>
        <v/>
      </c>
      <c r="B118" s="16">
        <f>IF($D118="","",NOW())</f>
        <v/>
      </c>
      <c r="C118" s="11" t="n"/>
      <c r="D118" s="11" t="n"/>
      <c r="E118" s="11" t="n"/>
      <c r="F118" s="11" t="n"/>
      <c r="G118" s="11" t="n"/>
      <c r="H118" s="12" t="n"/>
      <c r="I118" s="11" t="n"/>
    </row>
    <row r="119">
      <c r="A119" s="16">
        <f>IF($D119="","",ROW()-5)</f>
        <v/>
      </c>
      <c r="B119" s="16">
        <f>IF($D119="","",NOW())</f>
        <v/>
      </c>
      <c r="C119" s="11" t="n"/>
      <c r="D119" s="11" t="n"/>
      <c r="E119" s="11" t="n"/>
      <c r="F119" s="11" t="n"/>
      <c r="G119" s="11" t="n"/>
      <c r="H119" s="12" t="n"/>
      <c r="I119" s="11" t="n"/>
    </row>
    <row r="120">
      <c r="A120" s="16">
        <f>IF($D120="","",ROW()-5)</f>
        <v/>
      </c>
      <c r="B120" s="16">
        <f>IF($D120="","",NOW())</f>
        <v/>
      </c>
      <c r="C120" s="11" t="n"/>
      <c r="D120" s="11" t="n"/>
      <c r="E120" s="11" t="n"/>
      <c r="F120" s="11" t="n"/>
      <c r="G120" s="11" t="n"/>
      <c r="H120" s="12" t="n"/>
      <c r="I120" s="11" t="n"/>
    </row>
    <row r="121">
      <c r="A121" s="16">
        <f>IF($D121="","",ROW()-5)</f>
        <v/>
      </c>
      <c r="B121" s="16">
        <f>IF($D121="","",NOW())</f>
        <v/>
      </c>
      <c r="C121" s="11" t="n"/>
      <c r="D121" s="11" t="n"/>
      <c r="E121" s="11" t="n"/>
      <c r="F121" s="11" t="n"/>
      <c r="G121" s="11" t="n"/>
      <c r="H121" s="12" t="n"/>
      <c r="I121" s="11" t="n"/>
    </row>
    <row r="122">
      <c r="A122" s="16">
        <f>IF($D122="","",ROW()-5)</f>
        <v/>
      </c>
      <c r="B122" s="16">
        <f>IF($D122="","",NOW())</f>
        <v/>
      </c>
      <c r="C122" s="11" t="n"/>
      <c r="D122" s="11" t="n"/>
      <c r="E122" s="11" t="n"/>
      <c r="F122" s="11" t="n"/>
      <c r="G122" s="11" t="n"/>
      <c r="H122" s="12" t="n"/>
      <c r="I122" s="11" t="n"/>
    </row>
    <row r="123">
      <c r="A123" s="16">
        <f>IF($D123="","",ROW()-5)</f>
        <v/>
      </c>
      <c r="B123" s="16">
        <f>IF($D123="","",NOW())</f>
        <v/>
      </c>
      <c r="C123" s="11" t="n"/>
      <c r="D123" s="11" t="n"/>
      <c r="E123" s="11" t="n"/>
      <c r="F123" s="11" t="n"/>
      <c r="G123" s="11" t="n"/>
      <c r="H123" s="12" t="n"/>
      <c r="I123" s="11" t="n"/>
    </row>
    <row r="124">
      <c r="A124" s="16">
        <f>IF($D124="","",ROW()-5)</f>
        <v/>
      </c>
      <c r="B124" s="16">
        <f>IF($D124="","",NOW())</f>
        <v/>
      </c>
      <c r="C124" s="11" t="n"/>
      <c r="D124" s="11" t="n"/>
      <c r="E124" s="11" t="n"/>
      <c r="F124" s="11" t="n"/>
      <c r="G124" s="11" t="n"/>
      <c r="H124" s="12" t="n"/>
      <c r="I124" s="11" t="n"/>
    </row>
    <row r="125">
      <c r="A125" s="16">
        <f>IF($D125="","",ROW()-5)</f>
        <v/>
      </c>
      <c r="B125" s="16">
        <f>IF($D125="","",NOW())</f>
        <v/>
      </c>
      <c r="C125" s="11" t="n"/>
      <c r="D125" s="11" t="n"/>
      <c r="E125" s="11" t="n"/>
      <c r="F125" s="11" t="n"/>
      <c r="G125" s="11" t="n"/>
      <c r="H125" s="12" t="n"/>
      <c r="I125" s="11" t="n"/>
    </row>
    <row r="126">
      <c r="A126" s="16">
        <f>IF($D126="","",ROW()-5)</f>
        <v/>
      </c>
      <c r="B126" s="16">
        <f>IF($D126="","",NOW())</f>
        <v/>
      </c>
      <c r="C126" s="11" t="n"/>
      <c r="D126" s="11" t="n"/>
      <c r="E126" s="11" t="n"/>
      <c r="F126" s="11" t="n"/>
      <c r="G126" s="11" t="n"/>
      <c r="H126" s="12" t="n"/>
      <c r="I126" s="11" t="n"/>
    </row>
    <row r="127">
      <c r="A127" s="16">
        <f>IF($D127="","",ROW()-5)</f>
        <v/>
      </c>
      <c r="B127" s="16">
        <f>IF($D127="","",NOW())</f>
        <v/>
      </c>
      <c r="C127" s="11" t="n"/>
      <c r="D127" s="11" t="n"/>
      <c r="E127" s="11" t="n"/>
      <c r="F127" s="11" t="n"/>
      <c r="G127" s="11" t="n"/>
      <c r="H127" s="12" t="n"/>
      <c r="I127" s="11" t="n"/>
    </row>
    <row r="128">
      <c r="A128" s="16">
        <f>IF($D128="","",ROW()-5)</f>
        <v/>
      </c>
      <c r="B128" s="16">
        <f>IF($D128="","",NOW())</f>
        <v/>
      </c>
      <c r="C128" s="11" t="n"/>
      <c r="D128" s="11" t="n"/>
      <c r="E128" s="11" t="n"/>
      <c r="F128" s="11" t="n"/>
      <c r="G128" s="11" t="n"/>
      <c r="H128" s="12" t="n"/>
      <c r="I128" s="11" t="n"/>
    </row>
    <row r="129">
      <c r="A129" s="16">
        <f>IF($D129="","",ROW()-5)</f>
        <v/>
      </c>
      <c r="B129" s="16">
        <f>IF($D129="","",NOW())</f>
        <v/>
      </c>
      <c r="C129" s="11" t="n"/>
      <c r="D129" s="11" t="n"/>
      <c r="E129" s="11" t="n"/>
      <c r="F129" s="11" t="n"/>
      <c r="G129" s="11" t="n"/>
      <c r="H129" s="12" t="n"/>
      <c r="I129" s="11" t="n"/>
    </row>
    <row r="130">
      <c r="A130" s="16">
        <f>IF($D130="","",ROW()-5)</f>
        <v/>
      </c>
      <c r="B130" s="16">
        <f>IF($D130="","",NOW())</f>
        <v/>
      </c>
      <c r="C130" s="11" t="n"/>
      <c r="D130" s="11" t="n"/>
      <c r="E130" s="11" t="n"/>
      <c r="F130" s="11" t="n"/>
      <c r="G130" s="11" t="n"/>
      <c r="H130" s="12" t="n"/>
      <c r="I130" s="11" t="n"/>
    </row>
    <row r="131">
      <c r="A131" s="16">
        <f>IF($D131="","",ROW()-5)</f>
        <v/>
      </c>
      <c r="B131" s="16">
        <f>IF($D131="","",NOW())</f>
        <v/>
      </c>
      <c r="C131" s="11" t="n"/>
      <c r="D131" s="11" t="n"/>
      <c r="E131" s="11" t="n"/>
      <c r="F131" s="11" t="n"/>
      <c r="G131" s="11" t="n"/>
      <c r="H131" s="12" t="n"/>
      <c r="I131" s="11" t="n"/>
    </row>
    <row r="132">
      <c r="A132" s="16">
        <f>IF($D132="","",ROW()-5)</f>
        <v/>
      </c>
      <c r="B132" s="16">
        <f>IF($D132="","",NOW())</f>
        <v/>
      </c>
      <c r="C132" s="11" t="n"/>
      <c r="D132" s="11" t="n"/>
      <c r="E132" s="11" t="n"/>
      <c r="F132" s="11" t="n"/>
      <c r="G132" s="11" t="n"/>
      <c r="H132" s="12" t="n"/>
      <c r="I132" s="11" t="n"/>
    </row>
    <row r="133">
      <c r="A133" s="16">
        <f>IF($D133="","",ROW()-5)</f>
        <v/>
      </c>
      <c r="B133" s="16">
        <f>IF($D133="","",NOW())</f>
        <v/>
      </c>
      <c r="C133" s="11" t="n"/>
      <c r="D133" s="11" t="n"/>
      <c r="E133" s="11" t="n"/>
      <c r="F133" s="11" t="n"/>
      <c r="G133" s="11" t="n"/>
      <c r="H133" s="12" t="n"/>
      <c r="I133" s="11" t="n"/>
    </row>
    <row r="134">
      <c r="A134" s="16">
        <f>IF($D134="","",ROW()-5)</f>
        <v/>
      </c>
      <c r="B134" s="16">
        <f>IF($D134="","",NOW())</f>
        <v/>
      </c>
      <c r="C134" s="11" t="n"/>
      <c r="D134" s="11" t="n"/>
      <c r="E134" s="11" t="n"/>
      <c r="F134" s="11" t="n"/>
      <c r="G134" s="11" t="n"/>
      <c r="H134" s="12" t="n"/>
      <c r="I134" s="11" t="n"/>
    </row>
    <row r="135">
      <c r="A135" s="16">
        <f>IF($D135="","",ROW()-5)</f>
        <v/>
      </c>
      <c r="B135" s="16">
        <f>IF($D135="","",NOW())</f>
        <v/>
      </c>
      <c r="C135" s="11" t="n"/>
      <c r="D135" s="11" t="n"/>
      <c r="E135" s="11" t="n"/>
      <c r="F135" s="11" t="n"/>
      <c r="G135" s="11" t="n"/>
      <c r="H135" s="12" t="n"/>
      <c r="I135" s="11" t="n"/>
    </row>
    <row r="136">
      <c r="A136" s="16">
        <f>IF($D136="","",ROW()-5)</f>
        <v/>
      </c>
      <c r="B136" s="16">
        <f>IF($D136="","",NOW())</f>
        <v/>
      </c>
      <c r="C136" s="11" t="n"/>
      <c r="D136" s="11" t="n"/>
      <c r="E136" s="11" t="n"/>
      <c r="F136" s="11" t="n"/>
      <c r="G136" s="11" t="n"/>
      <c r="H136" s="12" t="n"/>
      <c r="I136" s="11" t="n"/>
    </row>
    <row r="137">
      <c r="A137" s="16">
        <f>IF($D137="","",ROW()-5)</f>
        <v/>
      </c>
      <c r="B137" s="16">
        <f>IF($D137="","",NOW())</f>
        <v/>
      </c>
      <c r="C137" s="11" t="n"/>
      <c r="D137" s="11" t="n"/>
      <c r="E137" s="11" t="n"/>
      <c r="F137" s="11" t="n"/>
      <c r="G137" s="11" t="n"/>
      <c r="H137" s="12" t="n"/>
      <c r="I137" s="11" t="n"/>
    </row>
    <row r="138">
      <c r="A138" s="16">
        <f>IF($D138="","",ROW()-5)</f>
        <v/>
      </c>
      <c r="B138" s="16">
        <f>IF($D138="","",NOW())</f>
        <v/>
      </c>
      <c r="C138" s="11" t="n"/>
      <c r="D138" s="11" t="n"/>
      <c r="E138" s="11" t="n"/>
      <c r="F138" s="11" t="n"/>
      <c r="G138" s="11" t="n"/>
      <c r="H138" s="12" t="n"/>
      <c r="I138" s="11" t="n"/>
    </row>
    <row r="139">
      <c r="A139" s="16">
        <f>IF($D139="","",ROW()-5)</f>
        <v/>
      </c>
      <c r="B139" s="16">
        <f>IF($D139="","",NOW())</f>
        <v/>
      </c>
      <c r="C139" s="11" t="n"/>
      <c r="D139" s="11" t="n"/>
      <c r="E139" s="11" t="n"/>
      <c r="F139" s="11" t="n"/>
      <c r="G139" s="11" t="n"/>
      <c r="H139" s="12" t="n"/>
      <c r="I139" s="11" t="n"/>
    </row>
    <row r="140">
      <c r="A140" s="16">
        <f>IF($D140="","",ROW()-5)</f>
        <v/>
      </c>
      <c r="B140" s="16">
        <f>IF($D140="","",NOW())</f>
        <v/>
      </c>
      <c r="C140" s="11" t="n"/>
      <c r="D140" s="11" t="n"/>
      <c r="E140" s="11" t="n"/>
      <c r="F140" s="11" t="n"/>
      <c r="G140" s="11" t="n"/>
      <c r="H140" s="12" t="n"/>
      <c r="I140" s="11" t="n"/>
    </row>
    <row r="141">
      <c r="A141" s="16">
        <f>IF($D141="","",ROW()-5)</f>
        <v/>
      </c>
      <c r="B141" s="16">
        <f>IF($D141="","",NOW())</f>
        <v/>
      </c>
      <c r="C141" s="11" t="n"/>
      <c r="D141" s="11" t="n"/>
      <c r="E141" s="11" t="n"/>
      <c r="F141" s="11" t="n"/>
      <c r="G141" s="11" t="n"/>
      <c r="H141" s="12" t="n"/>
      <c r="I141" s="11" t="n"/>
    </row>
    <row r="142">
      <c r="A142" s="16">
        <f>IF($D142="","",ROW()-5)</f>
        <v/>
      </c>
      <c r="B142" s="16">
        <f>IF($D142="","",NOW())</f>
        <v/>
      </c>
      <c r="C142" s="11" t="n"/>
      <c r="D142" s="11" t="n"/>
      <c r="E142" s="11" t="n"/>
      <c r="F142" s="11" t="n"/>
      <c r="G142" s="11" t="n"/>
      <c r="H142" s="12" t="n"/>
      <c r="I142" s="11" t="n"/>
    </row>
    <row r="143">
      <c r="A143" s="16">
        <f>IF($D143="","",ROW()-5)</f>
        <v/>
      </c>
      <c r="B143" s="16">
        <f>IF($D143="","",NOW())</f>
        <v/>
      </c>
      <c r="C143" s="11" t="n"/>
      <c r="D143" s="11" t="n"/>
      <c r="E143" s="11" t="n"/>
      <c r="F143" s="11" t="n"/>
      <c r="G143" s="11" t="n"/>
      <c r="H143" s="12" t="n"/>
      <c r="I143" s="11" t="n"/>
    </row>
    <row r="144">
      <c r="A144" s="16">
        <f>IF($D144="","",ROW()-5)</f>
        <v/>
      </c>
      <c r="B144" s="16">
        <f>IF($D144="","",NOW())</f>
        <v/>
      </c>
      <c r="C144" s="11" t="n"/>
      <c r="D144" s="11" t="n"/>
      <c r="E144" s="11" t="n"/>
      <c r="F144" s="11" t="n"/>
      <c r="G144" s="11" t="n"/>
      <c r="H144" s="12" t="n"/>
      <c r="I144" s="11" t="n"/>
    </row>
    <row r="145">
      <c r="A145" s="16">
        <f>IF($D145="","",ROW()-5)</f>
        <v/>
      </c>
      <c r="B145" s="16">
        <f>IF($D145="","",NOW())</f>
        <v/>
      </c>
      <c r="C145" s="11" t="n"/>
      <c r="D145" s="11" t="n"/>
      <c r="E145" s="11" t="n"/>
      <c r="F145" s="11" t="n"/>
      <c r="G145" s="11" t="n"/>
      <c r="H145" s="12" t="n"/>
      <c r="I145" s="11" t="n"/>
    </row>
    <row r="146">
      <c r="A146" s="16">
        <f>IF($D146="","",ROW()-5)</f>
        <v/>
      </c>
      <c r="B146" s="16">
        <f>IF($D146="","",NOW())</f>
        <v/>
      </c>
      <c r="C146" s="11" t="n"/>
      <c r="D146" s="11" t="n"/>
      <c r="E146" s="11" t="n"/>
      <c r="F146" s="11" t="n"/>
      <c r="G146" s="11" t="n"/>
      <c r="H146" s="12" t="n"/>
      <c r="I146" s="11" t="n"/>
    </row>
    <row r="147">
      <c r="A147" s="16">
        <f>IF($D147="","",ROW()-5)</f>
        <v/>
      </c>
      <c r="B147" s="16">
        <f>IF($D147="","",NOW())</f>
        <v/>
      </c>
      <c r="C147" s="11" t="n"/>
      <c r="D147" s="11" t="n"/>
      <c r="E147" s="11" t="n"/>
      <c r="F147" s="11" t="n"/>
      <c r="G147" s="11" t="n"/>
      <c r="H147" s="12" t="n"/>
      <c r="I147" s="11" t="n"/>
    </row>
    <row r="148">
      <c r="A148" s="16">
        <f>IF($D148="","",ROW()-5)</f>
        <v/>
      </c>
      <c r="B148" s="16">
        <f>IF($D148="","",NOW())</f>
        <v/>
      </c>
      <c r="C148" s="11" t="n"/>
      <c r="D148" s="11" t="n"/>
      <c r="E148" s="11" t="n"/>
      <c r="F148" s="11" t="n"/>
      <c r="G148" s="11" t="n"/>
      <c r="H148" s="12" t="n"/>
      <c r="I148" s="11" t="n"/>
    </row>
    <row r="149">
      <c r="A149" s="16">
        <f>IF($D149="","",ROW()-5)</f>
        <v/>
      </c>
      <c r="B149" s="16">
        <f>IF($D149="","",NOW())</f>
        <v/>
      </c>
      <c r="C149" s="11" t="n"/>
      <c r="D149" s="11" t="n"/>
      <c r="E149" s="11" t="n"/>
      <c r="F149" s="11" t="n"/>
      <c r="G149" s="11" t="n"/>
      <c r="H149" s="12" t="n"/>
      <c r="I149" s="11" t="n"/>
    </row>
    <row r="150">
      <c r="A150" s="16">
        <f>IF($D150="","",ROW()-5)</f>
        <v/>
      </c>
      <c r="B150" s="16">
        <f>IF($D150="","",NOW())</f>
        <v/>
      </c>
      <c r="C150" s="11" t="n"/>
      <c r="D150" s="11" t="n"/>
      <c r="E150" s="11" t="n"/>
      <c r="F150" s="11" t="n"/>
      <c r="G150" s="11" t="n"/>
      <c r="H150" s="12" t="n"/>
      <c r="I150" s="11" t="n"/>
    </row>
    <row r="151">
      <c r="A151" s="16">
        <f>IF($D151="","",ROW()-5)</f>
        <v/>
      </c>
      <c r="B151" s="16">
        <f>IF($D151="","",NOW())</f>
        <v/>
      </c>
      <c r="C151" s="11" t="n"/>
      <c r="D151" s="11" t="n"/>
      <c r="E151" s="11" t="n"/>
      <c r="F151" s="11" t="n"/>
      <c r="G151" s="11" t="n"/>
      <c r="H151" s="12" t="n"/>
      <c r="I151" s="11" t="n"/>
    </row>
    <row r="152">
      <c r="A152" s="16">
        <f>IF($D152="","",ROW()-5)</f>
        <v/>
      </c>
      <c r="B152" s="16">
        <f>IF($D152="","",NOW())</f>
        <v/>
      </c>
      <c r="C152" s="11" t="n"/>
      <c r="D152" s="11" t="n"/>
      <c r="E152" s="11" t="n"/>
      <c r="F152" s="11" t="n"/>
      <c r="G152" s="11" t="n"/>
      <c r="H152" s="12" t="n"/>
      <c r="I152" s="11" t="n"/>
    </row>
    <row r="153">
      <c r="A153" s="16">
        <f>IF($D153="","",ROW()-5)</f>
        <v/>
      </c>
      <c r="B153" s="16">
        <f>IF($D153="","",NOW())</f>
        <v/>
      </c>
      <c r="C153" s="11" t="n"/>
      <c r="D153" s="11" t="n"/>
      <c r="E153" s="11" t="n"/>
      <c r="F153" s="11" t="n"/>
      <c r="G153" s="11" t="n"/>
      <c r="H153" s="12" t="n"/>
      <c r="I153" s="11" t="n"/>
    </row>
    <row r="154">
      <c r="A154" s="16">
        <f>IF($D154="","",ROW()-5)</f>
        <v/>
      </c>
      <c r="B154" s="16">
        <f>IF($D154="","",NOW())</f>
        <v/>
      </c>
      <c r="C154" s="11" t="n"/>
      <c r="D154" s="11" t="n"/>
      <c r="E154" s="11" t="n"/>
      <c r="F154" s="11" t="n"/>
      <c r="G154" s="11" t="n"/>
      <c r="H154" s="12" t="n"/>
      <c r="I154" s="11" t="n"/>
    </row>
    <row r="155">
      <c r="A155" s="16">
        <f>IF($D155="","",ROW()-5)</f>
        <v/>
      </c>
      <c r="B155" s="16">
        <f>IF($D155="","",NOW())</f>
        <v/>
      </c>
      <c r="C155" s="11" t="n"/>
      <c r="D155" s="11" t="n"/>
      <c r="E155" s="11" t="n"/>
      <c r="F155" s="11" t="n"/>
      <c r="G155" s="11" t="n"/>
      <c r="H155" s="12" t="n"/>
      <c r="I155" s="11" t="n"/>
    </row>
    <row r="156">
      <c r="A156" s="16">
        <f>IF($D156="","",ROW()-5)</f>
        <v/>
      </c>
      <c r="B156" s="16">
        <f>IF($D156="","",NOW())</f>
        <v/>
      </c>
      <c r="C156" s="11" t="n"/>
      <c r="D156" s="11" t="n"/>
      <c r="E156" s="11" t="n"/>
      <c r="F156" s="11" t="n"/>
      <c r="G156" s="11" t="n"/>
      <c r="H156" s="12" t="n"/>
      <c r="I156" s="11" t="n"/>
    </row>
    <row r="157">
      <c r="A157" s="16">
        <f>IF($D157="","",ROW()-5)</f>
        <v/>
      </c>
      <c r="B157" s="16">
        <f>IF($D157="","",NOW())</f>
        <v/>
      </c>
      <c r="C157" s="11" t="n"/>
      <c r="D157" s="11" t="n"/>
      <c r="E157" s="11" t="n"/>
      <c r="F157" s="11" t="n"/>
      <c r="G157" s="11" t="n"/>
      <c r="H157" s="12" t="n"/>
      <c r="I157" s="11" t="n"/>
    </row>
    <row r="158">
      <c r="A158" s="16">
        <f>IF($D158="","",ROW()-5)</f>
        <v/>
      </c>
      <c r="B158" s="16">
        <f>IF($D158="","",NOW())</f>
        <v/>
      </c>
      <c r="C158" s="11" t="n"/>
      <c r="D158" s="11" t="n"/>
      <c r="E158" s="11" t="n"/>
      <c r="F158" s="11" t="n"/>
      <c r="G158" s="11" t="n"/>
      <c r="H158" s="12" t="n"/>
      <c r="I158" s="11" t="n"/>
    </row>
    <row r="159">
      <c r="A159" s="16">
        <f>IF($D159="","",ROW()-5)</f>
        <v/>
      </c>
      <c r="B159" s="16">
        <f>IF($D159="","",NOW())</f>
        <v/>
      </c>
      <c r="C159" s="11" t="n"/>
      <c r="D159" s="11" t="n"/>
      <c r="E159" s="11" t="n"/>
      <c r="F159" s="11" t="n"/>
      <c r="G159" s="11" t="n"/>
      <c r="H159" s="12" t="n"/>
      <c r="I159" s="11" t="n"/>
    </row>
    <row r="160">
      <c r="A160" s="16">
        <f>IF($D160="","",ROW()-5)</f>
        <v/>
      </c>
      <c r="B160" s="16">
        <f>IF($D160="","",NOW())</f>
        <v/>
      </c>
      <c r="C160" s="11" t="n"/>
      <c r="D160" s="11" t="n"/>
      <c r="E160" s="11" t="n"/>
      <c r="F160" s="11" t="n"/>
      <c r="G160" s="11" t="n"/>
      <c r="H160" s="12" t="n"/>
      <c r="I160" s="11" t="n"/>
    </row>
    <row r="161">
      <c r="A161" s="16">
        <f>IF($D161="","",ROW()-5)</f>
        <v/>
      </c>
      <c r="B161" s="16">
        <f>IF($D161="","",NOW())</f>
        <v/>
      </c>
      <c r="C161" s="11" t="n"/>
      <c r="D161" s="11" t="n"/>
      <c r="E161" s="11" t="n"/>
      <c r="F161" s="11" t="n"/>
      <c r="G161" s="11" t="n"/>
      <c r="H161" s="12" t="n"/>
      <c r="I161" s="11" t="n"/>
    </row>
    <row r="162">
      <c r="A162" s="16">
        <f>IF($D162="","",ROW()-5)</f>
        <v/>
      </c>
      <c r="B162" s="16">
        <f>IF($D162="","",NOW())</f>
        <v/>
      </c>
      <c r="C162" s="11" t="n"/>
      <c r="D162" s="11" t="n"/>
      <c r="E162" s="11" t="n"/>
      <c r="F162" s="11" t="n"/>
      <c r="G162" s="11" t="n"/>
      <c r="H162" s="12" t="n"/>
      <c r="I162" s="11" t="n"/>
    </row>
    <row r="163">
      <c r="A163" s="16">
        <f>IF($D163="","",ROW()-5)</f>
        <v/>
      </c>
      <c r="B163" s="16">
        <f>IF($D163="","",NOW())</f>
        <v/>
      </c>
      <c r="C163" s="11" t="n"/>
      <c r="D163" s="11" t="n"/>
      <c r="E163" s="11" t="n"/>
      <c r="F163" s="11" t="n"/>
      <c r="G163" s="11" t="n"/>
      <c r="H163" s="12" t="n"/>
      <c r="I163" s="11" t="n"/>
    </row>
    <row r="164">
      <c r="A164" s="16">
        <f>IF($D164="","",ROW()-5)</f>
        <v/>
      </c>
      <c r="B164" s="16">
        <f>IF($D164="","",NOW())</f>
        <v/>
      </c>
      <c r="C164" s="11" t="n"/>
      <c r="D164" s="11" t="n"/>
      <c r="E164" s="11" t="n"/>
      <c r="F164" s="11" t="n"/>
      <c r="G164" s="11" t="n"/>
      <c r="H164" s="12" t="n"/>
      <c r="I164" s="11" t="n"/>
    </row>
    <row r="165">
      <c r="A165" s="16">
        <f>IF($D165="","",ROW()-5)</f>
        <v/>
      </c>
      <c r="B165" s="16">
        <f>IF($D165="","",NOW())</f>
        <v/>
      </c>
      <c r="C165" s="11" t="n"/>
      <c r="D165" s="11" t="n"/>
      <c r="E165" s="11" t="n"/>
      <c r="F165" s="11" t="n"/>
      <c r="G165" s="11" t="n"/>
      <c r="H165" s="12" t="n"/>
      <c r="I165" s="11" t="n"/>
    </row>
    <row r="166">
      <c r="A166" s="16">
        <f>IF($D166="","",ROW()-5)</f>
        <v/>
      </c>
      <c r="B166" s="16">
        <f>IF($D166="","",NOW())</f>
        <v/>
      </c>
      <c r="C166" s="11" t="n"/>
      <c r="D166" s="11" t="n"/>
      <c r="E166" s="11" t="n"/>
      <c r="F166" s="11" t="n"/>
      <c r="G166" s="11" t="n"/>
      <c r="H166" s="12" t="n"/>
      <c r="I166" s="11" t="n"/>
    </row>
    <row r="167">
      <c r="A167" s="16">
        <f>IF($D167="","",ROW()-5)</f>
        <v/>
      </c>
      <c r="B167" s="16">
        <f>IF($D167="","",NOW())</f>
        <v/>
      </c>
      <c r="C167" s="11" t="n"/>
      <c r="D167" s="11" t="n"/>
      <c r="E167" s="11" t="n"/>
      <c r="F167" s="11" t="n"/>
      <c r="G167" s="11" t="n"/>
      <c r="H167" s="12" t="n"/>
      <c r="I167" s="11" t="n"/>
    </row>
    <row r="168">
      <c r="A168" s="16">
        <f>IF($D168="","",ROW()-5)</f>
        <v/>
      </c>
      <c r="B168" s="16">
        <f>IF($D168="","",NOW())</f>
        <v/>
      </c>
      <c r="C168" s="11" t="n"/>
      <c r="D168" s="11" t="n"/>
      <c r="E168" s="11" t="n"/>
      <c r="F168" s="11" t="n"/>
      <c r="G168" s="11" t="n"/>
      <c r="H168" s="12" t="n"/>
      <c r="I168" s="11" t="n"/>
    </row>
    <row r="169">
      <c r="A169" s="16">
        <f>IF($D169="","",ROW()-5)</f>
        <v/>
      </c>
      <c r="B169" s="16">
        <f>IF($D169="","",NOW())</f>
        <v/>
      </c>
      <c r="C169" s="11" t="n"/>
      <c r="D169" s="11" t="n"/>
      <c r="E169" s="11" t="n"/>
      <c r="F169" s="11" t="n"/>
      <c r="G169" s="11" t="n"/>
      <c r="H169" s="12" t="n"/>
      <c r="I169" s="11" t="n"/>
    </row>
    <row r="170">
      <c r="A170" s="16">
        <f>IF($D170="","",ROW()-5)</f>
        <v/>
      </c>
      <c r="B170" s="16">
        <f>IF($D170="","",NOW())</f>
        <v/>
      </c>
      <c r="C170" s="11" t="n"/>
      <c r="D170" s="11" t="n"/>
      <c r="E170" s="11" t="n"/>
      <c r="F170" s="11" t="n"/>
      <c r="G170" s="11" t="n"/>
      <c r="H170" s="12" t="n"/>
      <c r="I170" s="11" t="n"/>
    </row>
    <row r="171">
      <c r="A171" s="16">
        <f>IF($D171="","",ROW()-5)</f>
        <v/>
      </c>
      <c r="B171" s="16">
        <f>IF($D171="","",NOW())</f>
        <v/>
      </c>
      <c r="C171" s="11" t="n"/>
      <c r="D171" s="11" t="n"/>
      <c r="E171" s="11" t="n"/>
      <c r="F171" s="11" t="n"/>
      <c r="G171" s="11" t="n"/>
      <c r="H171" s="12" t="n"/>
      <c r="I171" s="11" t="n"/>
    </row>
    <row r="172">
      <c r="A172" s="16">
        <f>IF($D172="","",ROW()-5)</f>
        <v/>
      </c>
      <c r="B172" s="16">
        <f>IF($D172="","",NOW())</f>
        <v/>
      </c>
      <c r="C172" s="11" t="n"/>
      <c r="D172" s="11" t="n"/>
      <c r="E172" s="11" t="n"/>
      <c r="F172" s="11" t="n"/>
      <c r="G172" s="11" t="n"/>
      <c r="H172" s="12" t="n"/>
      <c r="I172" s="11" t="n"/>
    </row>
    <row r="173">
      <c r="A173" s="16">
        <f>IF($D173="","",ROW()-5)</f>
        <v/>
      </c>
      <c r="B173" s="16">
        <f>IF($D173="","",NOW())</f>
        <v/>
      </c>
      <c r="C173" s="11" t="n"/>
      <c r="D173" s="11" t="n"/>
      <c r="E173" s="11" t="n"/>
      <c r="F173" s="11" t="n"/>
      <c r="G173" s="11" t="n"/>
      <c r="H173" s="12" t="n"/>
      <c r="I173" s="11" t="n"/>
    </row>
    <row r="174">
      <c r="A174" s="16">
        <f>IF($D174="","",ROW()-5)</f>
        <v/>
      </c>
      <c r="B174" s="16">
        <f>IF($D174="","",NOW())</f>
        <v/>
      </c>
      <c r="C174" s="11" t="n"/>
      <c r="D174" s="11" t="n"/>
      <c r="E174" s="11" t="n"/>
      <c r="F174" s="11" t="n"/>
      <c r="G174" s="11" t="n"/>
      <c r="H174" s="12" t="n"/>
      <c r="I174" s="11" t="n"/>
    </row>
    <row r="175">
      <c r="A175" s="16">
        <f>IF($D175="","",ROW()-5)</f>
        <v/>
      </c>
      <c r="B175" s="16">
        <f>IF($D175="","",NOW())</f>
        <v/>
      </c>
      <c r="C175" s="11" t="n"/>
      <c r="D175" s="11" t="n"/>
      <c r="E175" s="11" t="n"/>
      <c r="F175" s="11" t="n"/>
      <c r="G175" s="11" t="n"/>
      <c r="H175" s="12" t="n"/>
      <c r="I175" s="11" t="n"/>
    </row>
    <row r="176">
      <c r="A176" s="16">
        <f>IF($D176="","",ROW()-5)</f>
        <v/>
      </c>
      <c r="B176" s="16">
        <f>IF($D176="","",NOW())</f>
        <v/>
      </c>
      <c r="C176" s="11" t="n"/>
      <c r="D176" s="11" t="n"/>
      <c r="E176" s="11" t="n"/>
      <c r="F176" s="11" t="n"/>
      <c r="G176" s="11" t="n"/>
      <c r="H176" s="12" t="n"/>
      <c r="I176" s="11" t="n"/>
    </row>
    <row r="177">
      <c r="A177" s="16">
        <f>IF($D177="","",ROW()-5)</f>
        <v/>
      </c>
      <c r="B177" s="16">
        <f>IF($D177="","",NOW())</f>
        <v/>
      </c>
      <c r="C177" s="11" t="n"/>
      <c r="D177" s="11" t="n"/>
      <c r="E177" s="11" t="n"/>
      <c r="F177" s="11" t="n"/>
      <c r="G177" s="11" t="n"/>
      <c r="H177" s="12" t="n"/>
      <c r="I177" s="11" t="n"/>
    </row>
    <row r="178">
      <c r="A178" s="16">
        <f>IF($D178="","",ROW()-5)</f>
        <v/>
      </c>
      <c r="B178" s="16">
        <f>IF($D178="","",NOW())</f>
        <v/>
      </c>
      <c r="C178" s="11" t="n"/>
      <c r="D178" s="11" t="n"/>
      <c r="E178" s="11" t="n"/>
      <c r="F178" s="11" t="n"/>
      <c r="G178" s="11" t="n"/>
      <c r="H178" s="12" t="n"/>
      <c r="I178" s="11" t="n"/>
    </row>
    <row r="179">
      <c r="A179" s="16">
        <f>IF($D179="","",ROW()-5)</f>
        <v/>
      </c>
      <c r="B179" s="16">
        <f>IF($D179="","",NOW())</f>
        <v/>
      </c>
      <c r="C179" s="11" t="n"/>
      <c r="D179" s="11" t="n"/>
      <c r="E179" s="11" t="n"/>
      <c r="F179" s="11" t="n"/>
      <c r="G179" s="11" t="n"/>
      <c r="H179" s="12" t="n"/>
      <c r="I179" s="11" t="n"/>
    </row>
    <row r="180">
      <c r="A180" s="16">
        <f>IF($D180="","",ROW()-5)</f>
        <v/>
      </c>
      <c r="B180" s="16">
        <f>IF($D180="","",NOW())</f>
        <v/>
      </c>
      <c r="C180" s="11" t="n"/>
      <c r="D180" s="11" t="n"/>
      <c r="E180" s="11" t="n"/>
      <c r="F180" s="11" t="n"/>
      <c r="G180" s="11" t="n"/>
      <c r="H180" s="12" t="n"/>
      <c r="I180" s="11" t="n"/>
    </row>
    <row r="181">
      <c r="A181" s="16">
        <f>IF($D181="","",ROW()-5)</f>
        <v/>
      </c>
      <c r="B181" s="16">
        <f>IF($D181="","",NOW())</f>
        <v/>
      </c>
      <c r="C181" s="11" t="n"/>
      <c r="D181" s="11" t="n"/>
      <c r="E181" s="11" t="n"/>
      <c r="F181" s="11" t="n"/>
      <c r="G181" s="11" t="n"/>
      <c r="H181" s="12" t="n"/>
      <c r="I181" s="11" t="n"/>
    </row>
    <row r="182">
      <c r="A182" s="16">
        <f>IF($D182="","",ROW()-5)</f>
        <v/>
      </c>
      <c r="B182" s="16">
        <f>IF($D182="","",NOW())</f>
        <v/>
      </c>
      <c r="C182" s="11" t="n"/>
      <c r="D182" s="11" t="n"/>
      <c r="E182" s="11" t="n"/>
      <c r="F182" s="11" t="n"/>
      <c r="G182" s="11" t="n"/>
      <c r="H182" s="12" t="n"/>
      <c r="I182" s="11" t="n"/>
    </row>
    <row r="183">
      <c r="A183" s="16">
        <f>IF($D183="","",ROW()-5)</f>
        <v/>
      </c>
      <c r="B183" s="16">
        <f>IF($D183="","",NOW())</f>
        <v/>
      </c>
      <c r="C183" s="11" t="n"/>
      <c r="D183" s="11" t="n"/>
      <c r="E183" s="11" t="n"/>
      <c r="F183" s="11" t="n"/>
      <c r="G183" s="11" t="n"/>
      <c r="H183" s="12" t="n"/>
      <c r="I183" s="11" t="n"/>
    </row>
    <row r="184">
      <c r="A184" s="16">
        <f>IF($D184="","",ROW()-5)</f>
        <v/>
      </c>
      <c r="B184" s="16">
        <f>IF($D184="","",NOW())</f>
        <v/>
      </c>
      <c r="C184" s="11" t="n"/>
      <c r="D184" s="11" t="n"/>
      <c r="E184" s="11" t="n"/>
      <c r="F184" s="11" t="n"/>
      <c r="G184" s="11" t="n"/>
      <c r="H184" s="12" t="n"/>
      <c r="I184" s="11" t="n"/>
    </row>
    <row r="185">
      <c r="A185" s="16">
        <f>IF($D185="","",ROW()-5)</f>
        <v/>
      </c>
      <c r="B185" s="16">
        <f>IF($D185="","",NOW())</f>
        <v/>
      </c>
      <c r="C185" s="11" t="n"/>
      <c r="D185" s="11" t="n"/>
      <c r="E185" s="11" t="n"/>
      <c r="F185" s="11" t="n"/>
      <c r="G185" s="11" t="n"/>
      <c r="H185" s="12" t="n"/>
      <c r="I185" s="11" t="n"/>
    </row>
    <row r="186">
      <c r="A186" s="16">
        <f>IF($D186="","",ROW()-5)</f>
        <v/>
      </c>
      <c r="B186" s="16">
        <f>IF($D186="","",NOW())</f>
        <v/>
      </c>
      <c r="C186" s="11" t="n"/>
      <c r="D186" s="11" t="n"/>
      <c r="E186" s="11" t="n"/>
      <c r="F186" s="11" t="n"/>
      <c r="G186" s="11" t="n"/>
      <c r="H186" s="12" t="n"/>
      <c r="I186" s="11" t="n"/>
    </row>
    <row r="187">
      <c r="A187" s="16">
        <f>IF($D187="","",ROW()-5)</f>
        <v/>
      </c>
      <c r="B187" s="16">
        <f>IF($D187="","",NOW())</f>
        <v/>
      </c>
      <c r="C187" s="11" t="n"/>
      <c r="D187" s="11" t="n"/>
      <c r="E187" s="11" t="n"/>
      <c r="F187" s="11" t="n"/>
      <c r="G187" s="11" t="n"/>
      <c r="H187" s="12" t="n"/>
      <c r="I187" s="11" t="n"/>
    </row>
    <row r="188">
      <c r="A188" s="16">
        <f>IF($D188="","",ROW()-5)</f>
        <v/>
      </c>
      <c r="B188" s="16">
        <f>IF($D188="","",NOW())</f>
        <v/>
      </c>
      <c r="C188" s="11" t="n"/>
      <c r="D188" s="11" t="n"/>
      <c r="E188" s="11" t="n"/>
      <c r="F188" s="11" t="n"/>
      <c r="G188" s="11" t="n"/>
      <c r="H188" s="12" t="n"/>
      <c r="I188" s="11" t="n"/>
    </row>
    <row r="189">
      <c r="A189" s="16">
        <f>IF($D189="","",ROW()-5)</f>
        <v/>
      </c>
      <c r="B189" s="16">
        <f>IF($D189="","",NOW())</f>
        <v/>
      </c>
      <c r="C189" s="11" t="n"/>
      <c r="D189" s="11" t="n"/>
      <c r="E189" s="11" t="n"/>
      <c r="F189" s="11" t="n"/>
      <c r="G189" s="11" t="n"/>
      <c r="H189" s="12" t="n"/>
      <c r="I189" s="11" t="n"/>
    </row>
    <row r="190">
      <c r="A190" s="16">
        <f>IF($D190="","",ROW()-5)</f>
        <v/>
      </c>
      <c r="B190" s="16">
        <f>IF($D190="","",NOW())</f>
        <v/>
      </c>
      <c r="C190" s="11" t="n"/>
      <c r="D190" s="11" t="n"/>
      <c r="E190" s="11" t="n"/>
      <c r="F190" s="11" t="n"/>
      <c r="G190" s="11" t="n"/>
      <c r="H190" s="12" t="n"/>
      <c r="I190" s="11" t="n"/>
    </row>
    <row r="191">
      <c r="A191" s="16">
        <f>IF($D191="","",ROW()-5)</f>
        <v/>
      </c>
      <c r="B191" s="16">
        <f>IF($D191="","",NOW())</f>
        <v/>
      </c>
      <c r="C191" s="11" t="n"/>
      <c r="D191" s="11" t="n"/>
      <c r="E191" s="11" t="n"/>
      <c r="F191" s="11" t="n"/>
      <c r="G191" s="11" t="n"/>
      <c r="H191" s="12" t="n"/>
      <c r="I191" s="11" t="n"/>
    </row>
    <row r="192">
      <c r="A192" s="16">
        <f>IF($D192="","",ROW()-5)</f>
        <v/>
      </c>
      <c r="B192" s="16">
        <f>IF($D192="","",NOW())</f>
        <v/>
      </c>
      <c r="C192" s="11" t="n"/>
      <c r="D192" s="11" t="n"/>
      <c r="E192" s="11" t="n"/>
      <c r="F192" s="11" t="n"/>
      <c r="G192" s="11" t="n"/>
      <c r="H192" s="12" t="n"/>
      <c r="I192" s="11" t="n"/>
    </row>
    <row r="193">
      <c r="A193" s="16">
        <f>IF($D193="","",ROW()-5)</f>
        <v/>
      </c>
      <c r="B193" s="16">
        <f>IF($D193="","",NOW())</f>
        <v/>
      </c>
      <c r="C193" s="11" t="n"/>
      <c r="D193" s="11" t="n"/>
      <c r="E193" s="11" t="n"/>
      <c r="F193" s="11" t="n"/>
      <c r="G193" s="11" t="n"/>
      <c r="H193" s="12" t="n"/>
      <c r="I193" s="11" t="n"/>
    </row>
    <row r="194">
      <c r="A194" s="16">
        <f>IF($D194="","",ROW()-5)</f>
        <v/>
      </c>
      <c r="B194" s="16">
        <f>IF($D194="","",NOW())</f>
        <v/>
      </c>
      <c r="C194" s="11" t="n"/>
      <c r="D194" s="11" t="n"/>
      <c r="E194" s="11" t="n"/>
      <c r="F194" s="11" t="n"/>
      <c r="G194" s="11" t="n"/>
      <c r="H194" s="12" t="n"/>
      <c r="I194" s="11" t="n"/>
    </row>
    <row r="195">
      <c r="A195" s="16">
        <f>IF($D195="","",ROW()-5)</f>
        <v/>
      </c>
      <c r="B195" s="16">
        <f>IF($D195="","",NOW())</f>
        <v/>
      </c>
      <c r="C195" s="11" t="n"/>
      <c r="D195" s="11" t="n"/>
      <c r="E195" s="11" t="n"/>
      <c r="F195" s="11" t="n"/>
      <c r="G195" s="11" t="n"/>
      <c r="H195" s="12" t="n"/>
      <c r="I195" s="11" t="n"/>
    </row>
    <row r="196">
      <c r="A196" s="16">
        <f>IF($D196="","",ROW()-5)</f>
        <v/>
      </c>
      <c r="B196" s="16">
        <f>IF($D196="","",NOW())</f>
        <v/>
      </c>
      <c r="C196" s="11" t="n"/>
      <c r="D196" s="11" t="n"/>
      <c r="E196" s="11" t="n"/>
      <c r="F196" s="11" t="n"/>
      <c r="G196" s="11" t="n"/>
      <c r="H196" s="12" t="n"/>
      <c r="I196" s="11" t="n"/>
    </row>
    <row r="197">
      <c r="A197" s="16">
        <f>IF($D197="","",ROW()-5)</f>
        <v/>
      </c>
      <c r="B197" s="16">
        <f>IF($D197="","",NOW())</f>
        <v/>
      </c>
      <c r="C197" s="11" t="n"/>
      <c r="D197" s="11" t="n"/>
      <c r="E197" s="11" t="n"/>
      <c r="F197" s="11" t="n"/>
      <c r="G197" s="11" t="n"/>
      <c r="H197" s="12" t="n"/>
      <c r="I197" s="11" t="n"/>
    </row>
    <row r="198">
      <c r="A198" s="16">
        <f>IF($D198="","",ROW()-5)</f>
        <v/>
      </c>
      <c r="B198" s="16">
        <f>IF($D198="","",NOW())</f>
        <v/>
      </c>
      <c r="C198" s="11" t="n"/>
      <c r="D198" s="11" t="n"/>
      <c r="E198" s="11" t="n"/>
      <c r="F198" s="11" t="n"/>
      <c r="G198" s="11" t="n"/>
      <c r="H198" s="12" t="n"/>
      <c r="I198" s="11" t="n"/>
    </row>
    <row r="199">
      <c r="A199" s="16">
        <f>IF($D199="","",ROW()-5)</f>
        <v/>
      </c>
      <c r="B199" s="16">
        <f>IF($D199="","",NOW())</f>
        <v/>
      </c>
      <c r="C199" s="11" t="n"/>
      <c r="D199" s="11" t="n"/>
      <c r="E199" s="11" t="n"/>
      <c r="F199" s="11" t="n"/>
      <c r="G199" s="11" t="n"/>
      <c r="H199" s="12" t="n"/>
      <c r="I199" s="11" t="n"/>
    </row>
    <row r="200">
      <c r="A200" s="16">
        <f>IF($D200="","",ROW()-5)</f>
        <v/>
      </c>
      <c r="B200" s="16">
        <f>IF($D200="","",NOW())</f>
        <v/>
      </c>
      <c r="C200" s="11" t="n"/>
      <c r="D200" s="11" t="n"/>
      <c r="E200" s="11" t="n"/>
      <c r="F200" s="11" t="n"/>
      <c r="G200" s="11" t="n"/>
      <c r="H200" s="12" t="n"/>
      <c r="I200" s="11" t="n"/>
    </row>
    <row r="201">
      <c r="A201" s="16">
        <f>IF($D201="","",ROW()-5)</f>
        <v/>
      </c>
      <c r="B201" s="16">
        <f>IF($D201="","",NOW())</f>
        <v/>
      </c>
      <c r="C201" s="11" t="n"/>
      <c r="D201" s="11" t="n"/>
      <c r="E201" s="11" t="n"/>
      <c r="F201" s="11" t="n"/>
      <c r="G201" s="11" t="n"/>
      <c r="H201" s="12" t="n"/>
      <c r="I201" s="11" t="n"/>
    </row>
    <row r="202">
      <c r="A202" s="16">
        <f>IF($D202="","",ROW()-5)</f>
        <v/>
      </c>
      <c r="B202" s="16">
        <f>IF($D202="","",NOW())</f>
        <v/>
      </c>
      <c r="C202" s="11" t="n"/>
      <c r="D202" s="11" t="n"/>
      <c r="E202" s="11" t="n"/>
      <c r="F202" s="11" t="n"/>
      <c r="G202" s="11" t="n"/>
      <c r="H202" s="12" t="n"/>
      <c r="I202" s="11" t="n"/>
    </row>
    <row r="203">
      <c r="A203" s="16">
        <f>IF($D203="","",ROW()-5)</f>
        <v/>
      </c>
      <c r="B203" s="16">
        <f>IF($D203="","",NOW())</f>
        <v/>
      </c>
      <c r="C203" s="11" t="n"/>
      <c r="D203" s="11" t="n"/>
      <c r="E203" s="11" t="n"/>
      <c r="F203" s="11" t="n"/>
      <c r="G203" s="11" t="n"/>
      <c r="H203" s="12" t="n"/>
      <c r="I203" s="11" t="n"/>
    </row>
    <row r="204">
      <c r="A204" s="16">
        <f>IF($D204="","",ROW()-5)</f>
        <v/>
      </c>
      <c r="B204" s="16">
        <f>IF($D204="","",NOW())</f>
        <v/>
      </c>
      <c r="C204" s="11" t="n"/>
      <c r="D204" s="11" t="n"/>
      <c r="E204" s="11" t="n"/>
      <c r="F204" s="11" t="n"/>
      <c r="G204" s="11" t="n"/>
      <c r="H204" s="12" t="n"/>
      <c r="I204" s="11" t="n"/>
    </row>
    <row r="205">
      <c r="A205" s="16">
        <f>IF($D205="","",ROW()-5)</f>
        <v/>
      </c>
      <c r="B205" s="16">
        <f>IF($D205="","",NOW())</f>
        <v/>
      </c>
      <c r="C205" s="11" t="n"/>
      <c r="D205" s="11" t="n"/>
      <c r="E205" s="11" t="n"/>
      <c r="F205" s="11" t="n"/>
      <c r="G205" s="11" t="n"/>
      <c r="H205" s="12" t="n"/>
      <c r="I205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7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2026-01-21T08:33:10Z</dcterms:created>
  <dcterms:modified xmlns:dcterms="http://purl.org/dc/terms/" xmlns:xsi="http://www.w3.org/2001/XMLSchema-instance" xsi:type="dcterms:W3CDTF">2026-01-21T08:33:11Z</dcterms:modified>
</cp:coreProperties>
</file>