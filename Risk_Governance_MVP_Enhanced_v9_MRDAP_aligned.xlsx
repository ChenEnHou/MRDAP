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eld_Guide" sheetId="2" state="visible" r:id="rId4"/>
    <sheet name="Setup" sheetId="3" state="visible" r:id="rId5"/>
    <sheet name="Input_Form" sheetId="4" state="visible" r:id="rId6"/>
    <sheet name="Risk_Register" sheetId="5" state="visible" r:id="rId7"/>
    <sheet name="Dashboard" sheetId="6" state="visible" r:id="rId8"/>
    <sheet name="Scenarios" sheetId="7" state="visible" r:id="rId9"/>
    <sheet name="Summary" sheetId="8" state="visible" r:id="rId10"/>
    <sheet name="Change_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<sst xmlns="http://schemas.openxmlformats.org/spreadsheetml/2006/main" count="415" uniqueCount="303">
  <si>
    <t xml:space="preserve">Risk Governance OS – Excel MVP (v9, aligned with MRDAP revised methodology)</t>
  </si>
  <si>
    <t xml:space="preserve">What changed in v9</t>
  </si>
  <si>
    <t xml:space="preserve">The calculation engine was rebuilt to match the revised MRDAP whitepaper:
• Time: P_cum now uses N = H / T (observation horizon ÷ decision-cycle length) instead of using T as the exponent.
• Governance: C now acts on the single-period probability – P_gov = P_floor + (P − P_floor)(1 − C) – instead of multiplying RE by (1 − C). New optional input P_floor; C may be negative (governance that worsens risk).
• RE = I × [1 − (1 − P_gov)^N] × τ. The old TFi term inside RE was removed, so TF is applied only once (RE → TRE).
• τ is computed as max(1, (T_ref / T)^k) with optional override (τ ≥ 1).
• TF is computed from Controllability / Externality / Irreversibility (1–5): U = 6 − C_ctrl, S = ω₁U + ω₂C_ext + ω₃C_irr, TF = 1 + α(S − 1) or exp(α(S − 1)). Domain-default TF table and the separate 'TFi' input were retired; TF_override kept.
• A = λ × Cap / TP_org (Setup), with optional direct override.
• LR status bands (Green / Yellow / Red) added to Dashboard, Summary and Scenarios.
• E/N flag is annotation only (LR_E removed); Scenarios recompute the full nonlinear model and include a Base = Dashboard check.
• Fixes: scenario formulas no longer error out on blank register rows; Dashboard Top-10 now tie-safe.</t>
  </si>
  <si>
    <t xml:space="preserve">Calculation chain (five layers)</t>
  </si>
  <si>
    <t xml:space="preserve">1 Risk Generation:      N = H / T;  P_cum = 1 − (1 − P)^N;  L_exp = I × P_cum
2 Governance Interaction: P_gov = P_floor + (P − P_floor)(1 − C);  τ = max(1, (T_ref/T)^k);  RE = I × [1 − (1 − P_gov)^N] × τ
3 Typology Translation:  U = 6 − C_ctrl;  S = ω₁U + ω₂C_ext + ω₃C_irr;  TF = 1 + α(S − 1);  TRE_i = RE_i × TF_i
4 Governance Integration: G = Σ TRE_i
5 Decision Judgment:     A = λ × Cap / TP_org;  LR = G / A  →  Green ≤ 0.8 &lt; Yellow &lt; 1.0 ≤ Red</t>
  </si>
  <si>
    <t xml:space="preserve">How to use</t>
  </si>
  <si>
    <t xml:space="preserve">1) Setup: set time unit, H, T_ref, k, TF weights/α, Cap/TP_org/λ and status bands.
2) Risk_Register: enter one risk per row in columns A–P (or use Input_Form). Watch the Check column.
3) Read Dashboard / Summary; compare governance options in Scenarios.
4) Log changes in Change_Log.</t>
  </si>
  <si>
    <t xml:space="preserve">Migrating v8 data</t>
  </si>
  <si>
    <t xml:space="preserve">Copy Risk_ID, Risk_Name, Domain, Description, P, I, C, Erosion_Flag (→ Escalation_Type) and Notes. v8 'T' was a cycle COUNT; v9 'T' is the cycle LENGTH – enter the review interval and set H so that H / T equals the old count. v8 'tau' may go into tau_override only if ≥ 1. v8 'TFi' and 'TF_i' are replaced by the three typology scores (or TF_override).</t>
  </si>
  <si>
    <t xml:space="preserve">Backlog (future)</t>
  </si>
  <si>
    <t xml:space="preserve">Monte-Carlo sampling of P ∈ [P_min, P_max]; graded τ mapping table; sensitivity dashboard (LR elasticity by parameter); role-based access and controlled submission (requires VBA or external system).</t>
  </si>
  <si>
    <t xml:space="preserve">Field Guide (What / Why / How to Fill)</t>
  </si>
  <si>
    <t xml:space="preserve">Authoritative guidance for data entry and interpretation. Formulas follow the MRDAP methodology (revised).</t>
  </si>
  <si>
    <t xml:space="preserve">Field</t>
  </si>
  <si>
    <t xml:space="preserve">Layer</t>
  </si>
  <si>
    <t xml:space="preserve">Purpose (What it is)</t>
  </si>
  <si>
    <t xml:space="preserve">How to fill / How it is computed</t>
  </si>
  <si>
    <t xml:space="preserve">Allowed / Typical Range</t>
  </si>
  <si>
    <t xml:space="preserve">Example</t>
  </si>
  <si>
    <t xml:space="preserve">Risk_ID</t>
  </si>
  <si>
    <t xml:space="preserve">—</t>
  </si>
  <si>
    <t xml:space="preserve">Unique identifier</t>
  </si>
  <si>
    <t xml:space="preserve">Short unique code; never reuse.</t>
  </si>
  <si>
    <t xml:space="preserve">Text; unique</t>
  </si>
  <si>
    <t xml:space="preserve">R-SEC-001</t>
  </si>
  <si>
    <t xml:space="preserve">Risk_Name</t>
  </si>
  <si>
    <t xml:space="preserve">Short risk name</t>
  </si>
  <si>
    <t xml:space="preserve">Concise name used in Top-N outputs.</t>
  </si>
  <si>
    <t xml:space="preserve">Text</t>
  </si>
  <si>
    <t xml:space="preserve">Credential leakage</t>
  </si>
  <si>
    <t xml:space="preserve">Domain</t>
  </si>
  <si>
    <t xml:space="preserve">Risk domain</t>
  </si>
  <si>
    <t xml:space="preserve">Dropdown; maintain list in Setup. Used for composition reporting only.</t>
  </si>
  <si>
    <t xml:space="preserve">Dropdown</t>
  </si>
  <si>
    <t xml:space="preserve">Security</t>
  </si>
  <si>
    <t xml:space="preserve">Description</t>
  </si>
  <si>
    <t xml:space="preserve">Scenario / trigger / boundary</t>
  </si>
  <si>
    <t xml:space="preserve">2–5 lines.</t>
  </si>
  <si>
    <t xml:space="preserve">Free text</t>
  </si>
  <si>
    <t xml:space="preserve">Leak via vendor VPN…</t>
  </si>
  <si>
    <t xml:space="preserve">P</t>
  </si>
  <si>
    <t xml:space="preserve">1 Risk Generation</t>
  </si>
  <si>
    <t xml:space="preserve">Single-period probability within ONE decision cycle T</t>
  </si>
  <si>
    <t xml:space="preserve">A governance parameter, not a forecast. Re-estimate whenever T changes; P values under different T are not comparable.</t>
  </si>
  <si>
    <t xml:space="preserve">0–1</t>
  </si>
  <si>
    <t xml:space="preserve">0.20</t>
  </si>
  <si>
    <t xml:space="preserve">P_floor</t>
  </si>
  <si>
    <t xml:space="preserve">2 Governance Interaction</t>
  </si>
  <si>
    <t xml:space="preserve">Irreducible probability while the activity continues</t>
  </si>
  <si>
    <t xml:space="preserve">Optional; blank = 0. The level C = 1 can reduce P to. Must be ≤ P.</t>
  </si>
  <si>
    <t xml:space="preserve">0 ≤ P_floor ≤ P</t>
  </si>
  <si>
    <t xml:space="preserve">0.02</t>
  </si>
  <si>
    <t xml:space="preserve">T</t>
  </si>
  <si>
    <t xml:space="preserve">Decision cycle length – interval between governance reviews</t>
  </si>
  <si>
    <t xml:space="preserve">In the Setup time unit (default months): 1 = monthly, 3 = quarterly, 12 = annual.</t>
  </si>
  <si>
    <t xml:space="preserve">&gt; 0</t>
  </si>
  <si>
    <t xml:space="preserve">3</t>
  </si>
  <si>
    <t xml:space="preserve">I</t>
  </si>
  <si>
    <t xml:space="preserve">Impact severity if the event occurs</t>
  </si>
  <si>
    <t xml:space="preserve">Same unit as Cap / A (cost, loss index or severity grade).</t>
  </si>
  <si>
    <t xml:space="preserve">≥ 0</t>
  </si>
  <si>
    <t xml:space="preserve">250</t>
  </si>
  <si>
    <t xml:space="preserve">C</t>
  </si>
  <si>
    <t xml:space="preserve">Governance effectiveness / coverage</t>
  </si>
  <si>
    <t xml:space="preserve">Acts on P each cycle: 0 = no governance; 1 = maximum feasible reduction down to P_floor; negative = governance that increases the risk.</t>
  </si>
  <si>
    <t xml:space="preserve">−1 … 1</t>
  </si>
  <si>
    <t xml:space="preserve">0.5</t>
  </si>
  <si>
    <t xml:space="preserve">C_ctrl</t>
  </si>
  <si>
    <t xml:space="preserve">3 Typology Translation</t>
  </si>
  <si>
    <t xml:space="preserve">Controllability</t>
  </si>
  <si>
    <t xml:space="preserve">1 = almost uncontrollable … 5 = highly controllable. Reversed internally: U = 6 − C_ctrl.</t>
  </si>
  <si>
    <t xml:space="preserve">1–5</t>
  </si>
  <si>
    <t xml:space="preserve">4</t>
  </si>
  <si>
    <t xml:space="preserve">C_ext</t>
  </si>
  <si>
    <t xml:space="preserve">Externality</t>
  </si>
  <si>
    <t xml:space="preserve">1 = low … 5 = high dependence on external parties/environment.</t>
  </si>
  <si>
    <t xml:space="preserve">C_irr</t>
  </si>
  <si>
    <t xml:space="preserve">Irreversibility</t>
  </si>
  <si>
    <t xml:space="preserve">1 = reversible … 5 = highly irreversible.</t>
  </si>
  <si>
    <t xml:space="preserve">2</t>
  </si>
  <si>
    <t xml:space="preserve">tau_override</t>
  </si>
  <si>
    <t xml:space="preserve">Manual τ (e.g. from an institutional mapping table)</t>
  </si>
  <si>
    <t xml:space="preserve">Leave blank to use τ = max(1, (T_ref/T)^k). Justify in Notes.</t>
  </si>
  <si>
    <t xml:space="preserve">Blank or ≥ 1</t>
  </si>
  <si>
    <t xml:space="preserve">1.3</t>
  </si>
  <si>
    <t xml:space="preserve">TF_override</t>
  </si>
  <si>
    <t xml:space="preserve">Manual TF (expert override)</t>
  </si>
  <si>
    <t xml:space="preserve">Leave blank to compute TF from C_ctrl/C_ext/C_irr. Justify in Notes.</t>
  </si>
  <si>
    <t xml:space="preserve">1.4</t>
  </si>
  <si>
    <t xml:space="preserve">Escalation_Type</t>
  </si>
  <si>
    <t xml:space="preserve">Annotation</t>
  </si>
  <si>
    <t xml:space="preserve">Type E (escalating) / Type N (non-escalating)</t>
  </si>
  <si>
    <t xml:space="preserve">Priority metadata only – does not change RE, G or LR.</t>
  </si>
  <si>
    <t xml:space="preserve">E or N</t>
  </si>
  <si>
    <t xml:space="preserve">E (Escalating)</t>
  </si>
  <si>
    <t xml:space="preserve">Notes</t>
  </si>
  <si>
    <t xml:space="preserve">Assumptions, sources, rationale</t>
  </si>
  <si>
    <t xml:space="preserve">Record estimation method and any override.</t>
  </si>
  <si>
    <t xml:space="preserve">SME est., Q4…</t>
  </si>
  <si>
    <t xml:space="preserve">N</t>
  </si>
  <si>
    <t xml:space="preserve">1 (auto)</t>
  </si>
  <si>
    <t xml:space="preserve">Number of decision cycles in the horizon</t>
  </si>
  <si>
    <t xml:space="preserve">N = H / T (H in Setup). May be fractional.</t>
  </si>
  <si>
    <t xml:space="preserve">Auto</t>
  </si>
  <si>
    <t xml:space="preserve">12</t>
  </si>
  <si>
    <t xml:space="preserve">P_cum</t>
  </si>
  <si>
    <t xml:space="preserve">Ungoverned cumulative probability</t>
  </si>
  <si>
    <t xml:space="preserve">P_cum = 1 − (1 − P)^N</t>
  </si>
  <si>
    <t xml:space="preserve">0.93</t>
  </si>
  <si>
    <t xml:space="preserve">L_exp</t>
  </si>
  <si>
    <t xml:space="preserve">Pre-governance expected loss (baseline)</t>
  </si>
  <si>
    <t xml:space="preserve">L_exp = I × P_cum</t>
  </si>
  <si>
    <t xml:space="preserve">232</t>
  </si>
  <si>
    <t xml:space="preserve">P_gov</t>
  </si>
  <si>
    <t xml:space="preserve">2 (auto)</t>
  </si>
  <si>
    <t xml:space="preserve">Governed single-period probability</t>
  </si>
  <si>
    <t xml:space="preserve">P_gov = P_floor + (P − P_floor)(1 − C), capped at 1</t>
  </si>
  <si>
    <t xml:space="preserve">0.11</t>
  </si>
  <si>
    <t xml:space="preserve">P_cum_gov</t>
  </si>
  <si>
    <t xml:space="preserve">Governed cumulative probability</t>
  </si>
  <si>
    <t xml:space="preserve">1 − (1 − P_gov)^N</t>
  </si>
  <si>
    <t xml:space="preserve">0.75</t>
  </si>
  <si>
    <t xml:space="preserve">tau</t>
  </si>
  <si>
    <t xml:space="preserve">Time-pressure coefficient used</t>
  </si>
  <si>
    <t xml:space="preserve">tau_override if given, else max(1, (T_ref/T)^k)</t>
  </si>
  <si>
    <t xml:space="preserve">≥ 1</t>
  </si>
  <si>
    <t xml:space="preserve">1.41</t>
  </si>
  <si>
    <t xml:space="preserve">S_i</t>
  </si>
  <si>
    <t xml:space="preserve">3 (auto)</t>
  </si>
  <si>
    <t xml:space="preserve">Governance-difficulty score</t>
  </si>
  <si>
    <t xml:space="preserve">S = ω₁(6 − C_ctrl) + ω₂C_ext + ω₃C_irr</t>
  </si>
  <si>
    <t xml:space="preserve">2.33</t>
  </si>
  <si>
    <t xml:space="preserve">TF_calc</t>
  </si>
  <si>
    <t xml:space="preserve">Typology Factor from the score</t>
  </si>
  <si>
    <t xml:space="preserve">Option A: 1 + α(S − 1); Option B: exp(α(S − 1)) (Setup)</t>
  </si>
  <si>
    <t xml:space="preserve">1.33</t>
  </si>
  <si>
    <t xml:space="preserve">TF_used</t>
  </si>
  <si>
    <t xml:space="preserve">TF applied</t>
  </si>
  <si>
    <t xml:space="preserve">TF_override if given, else TF_calc. Applied ONCE, to RE → TRE.</t>
  </si>
  <si>
    <t xml:space="preserve">RE</t>
  </si>
  <si>
    <t xml:space="preserve">Residual Exposure (governance outcome)</t>
  </si>
  <si>
    <t xml:space="preserve">RE = I × [1 − (1 − P_gov)^N] × τ  (no TF, no separate (1 − C))</t>
  </si>
  <si>
    <t xml:space="preserve">264</t>
  </si>
  <si>
    <t xml:space="preserve">TRE_i</t>
  </si>
  <si>
    <t xml:space="preserve">Typology-adjusted Residual Exposure</t>
  </si>
  <si>
    <t xml:space="preserve">TRE_i = RE_i × TF_i</t>
  </si>
  <si>
    <t xml:space="preserve">352</t>
  </si>
  <si>
    <t xml:space="preserve">Check</t>
  </si>
  <si>
    <t xml:space="preserve">(auto)</t>
  </si>
  <si>
    <t xml:space="preserve">Row completeness / consistency</t>
  </si>
  <si>
    <t xml:space="preserve">OK, or lists missing inputs / P_floor &gt; P.</t>
  </si>
  <si>
    <t xml:space="preserve">OK</t>
  </si>
  <si>
    <t xml:space="preserve">G</t>
  </si>
  <si>
    <t xml:space="preserve">4 Integration</t>
  </si>
  <si>
    <t xml:space="preserve">Total Governance Exposure</t>
  </si>
  <si>
    <t xml:space="preserve">G = Σ TRE_i over complete rows (Dashboard).</t>
  </si>
  <si>
    <t xml:space="preserve">A</t>
  </si>
  <si>
    <t xml:space="preserve">5 Judgment</t>
  </si>
  <si>
    <t xml:space="preserve">Acceptance Threshold</t>
  </si>
  <si>
    <t xml:space="preserve">A = λ × Cap / TP_org (Setup), or A override.</t>
  </si>
  <si>
    <t xml:space="preserve">100</t>
  </si>
  <si>
    <t xml:space="preserve">LR</t>
  </si>
  <si>
    <t xml:space="preserve">Risk Load Ratio and status</t>
  </si>
  <si>
    <t xml:space="preserve">LR = G / A. Green ≤ 0.8 &lt; Yellow &lt; 1.0 ≤ Red (bands editable in Setup).</t>
  </si>
  <si>
    <t xml:space="preserve">0.92 → Yellow</t>
  </si>
  <si>
    <t xml:space="preserve">Hidden helpers</t>
  </si>
  <si>
    <t xml:space="preserve">TRE_score, Valid, *_n columns</t>
  </si>
  <si>
    <t xml:space="preserve">Stable ranking and scenario engine. Do not edit.</t>
  </si>
  <si>
    <t xml:space="preserve">Setup / Assumptions</t>
  </si>
  <si>
    <t xml:space="preserve">Blue cells are inputs. All parameters are organisation-calibrated placeholders; replace with your own values.</t>
  </si>
  <si>
    <t xml:space="preserve">Time Structure (Risk Generation Layer)</t>
  </si>
  <si>
    <t xml:space="preserve">Time unit (label only)</t>
  </si>
  <si>
    <t xml:space="preserve">months</t>
  </si>
  <si>
    <t xml:space="preserve">Unit used for H, T_ref and every risk's T. Change the label if you use quarters/years, and keep all three consistent.</t>
  </si>
  <si>
    <t xml:space="preserve">Observation horizon H</t>
  </si>
  <si>
    <t xml:space="preserve">Total period assessed at this decision point. Each risk's number of decision cycles is N = H / T.</t>
  </si>
  <si>
    <t xml:space="preserve">Reference cycle T_ref</t>
  </si>
  <si>
    <t xml:space="preserve">Baseline governance tempo for τ (e.g. 12 months = annual). τ = 1 when T ≥ T_ref.</t>
  </si>
  <si>
    <t xml:space="preserve">Time-pressure exponent k</t>
  </si>
  <si>
    <t xml:space="preserve">τ = max(1, (T_ref / T)^k). Larger k = shorter cycles are penalised more.</t>
  </si>
  <si>
    <t xml:space="preserve">Typology Factor TF (Typology Translation Layer)</t>
  </si>
  <si>
    <t xml:space="preserve">ω₁ weight – Uncontrollability U</t>
  </si>
  <si>
    <t xml:space="preserve">U = 6 − C_ctrl. Weights must sum to 1 (equal weights by default).</t>
  </si>
  <si>
    <t xml:space="preserve">ω₂ weight – Externality C_ext</t>
  </si>
  <si>
    <t xml:space="preserve">ω₃ weight – Irreversibility C_irr</t>
  </si>
  <si>
    <t xml:space="preserve">Weight check</t>
  </si>
  <si>
    <t xml:space="preserve">S = ω₁U + ω₂C_ext + ω₃C_irr</t>
  </si>
  <si>
    <t xml:space="preserve">Sensitivity α</t>
  </si>
  <si>
    <t xml:space="preserve">α &gt; 0. Linear: TF = 1 + α(S − 1). Exponential: TF = exp(α(S − 1)).</t>
  </si>
  <si>
    <t xml:space="preserve">TF mapping method</t>
  </si>
  <si>
    <t xml:space="preserve">A (Linear)</t>
  </si>
  <si>
    <t xml:space="preserve">Option A (linear) is recommended; Option B (exponential) amplifies hard-to-govern risks.</t>
  </si>
  <si>
    <t xml:space="preserve">Acceptance Threshold A (Decision Judgment Layer)</t>
  </si>
  <si>
    <t xml:space="preserve">Cap – loss-absorbing capacity</t>
  </si>
  <si>
    <t xml:space="preserve">Same unit as I / G.</t>
  </si>
  <si>
    <t xml:space="preserve">TP_org – relative governance response cycle</t>
  </si>
  <si>
    <t xml:space="preserve">Unit-free: organisation's average response cycle ÷ reference cycle (1 = at reference tempo).</t>
  </si>
  <si>
    <t xml:space="preserve">λ – calibration coefficient</t>
  </si>
  <si>
    <t xml:space="preserve">Governance conservatism / institutional flexibility.</t>
  </si>
  <si>
    <t xml:space="preserve">A override (optional)</t>
  </si>
  <si>
    <t xml:space="preserve">Leave blank to use A = λ × Cap / TP_org. Fill only if A is set directly by leadership.</t>
  </si>
  <si>
    <t xml:space="preserve">A used</t>
  </si>
  <si>
    <t xml:space="preserve">Feeds LR = G / A everywhere.</t>
  </si>
  <si>
    <t xml:space="preserve">Risk Load Ratio status bands</t>
  </si>
  <si>
    <t xml:space="preserve">Green upper bound</t>
  </si>
  <si>
    <t xml:space="preserve">LR ≤ this value → Green (adjustable per governance policy).</t>
  </si>
  <si>
    <t xml:space="preserve">Red lower bound</t>
  </si>
  <si>
    <t xml:space="preserve">LR ≥ this value → Red; in between → Yellow.</t>
  </si>
  <si>
    <t xml:space="preserve">Domains (dropdown list)</t>
  </si>
  <si>
    <t xml:space="preserve">Escalation Type (dropdown)</t>
  </si>
  <si>
    <t xml:space="preserve">TF mapping options</t>
  </si>
  <si>
    <t xml:space="preserve">Technology</t>
  </si>
  <si>
    <t xml:space="preserve">Operations</t>
  </si>
  <si>
    <t xml:space="preserve">N (Non‑Escalating)</t>
  </si>
  <si>
    <t xml:space="preserve">B (Exponential)</t>
  </si>
  <si>
    <t xml:space="preserve">Compliance</t>
  </si>
  <si>
    <t xml:space="preserve">Strategy</t>
  </si>
  <si>
    <t xml:space="preserve">Supply Chain</t>
  </si>
  <si>
    <t xml:space="preserve">Input Form (fill one risk, then paste values into Risk_Register)</t>
  </si>
  <si>
    <t xml:space="preserve">Instructions</t>
  </si>
  <si>
    <t xml:space="preserve">1) Fill row 8 for ONE risk (blue = required, pale blue = optional override, grey = text).
2) Copy A8:P8 and paste as VALUES into the next empty row of Risk_Register (columns A–P).
3) Do not paste into calculated columns (Q onward); Risk_Register computes automatically. Check its 'Check' column shows OK.</t>
  </si>
  <si>
    <t xml:space="preserve">Unique code</t>
  </si>
  <si>
    <t xml:space="preserve">Short name</t>
  </si>
  <si>
    <t xml:space="preserve">Context</t>
  </si>
  <si>
    <t xml:space="preserve">0–1 per cycle</t>
  </si>
  <si>
    <t xml:space="preserve">0–1, ≤ P (blank=0)</t>
  </si>
  <si>
    <t xml:space="preserve">Cycle length (Setup unit)</t>
  </si>
  <si>
    <t xml:space="preserve">≥ 0, same unit as Cap</t>
  </si>
  <si>
    <t xml:space="preserve">1–5 (5 = highly controllable)</t>
  </si>
  <si>
    <t xml:space="preserve">1–5 (5 = high externality)</t>
  </si>
  <si>
    <t xml:space="preserve">1–5 (5 = irreversible)</t>
  </si>
  <si>
    <t xml:space="preserve">Blank = calc; ≥ 1</t>
  </si>
  <si>
    <t xml:space="preserve">E / N dropdown</t>
  </si>
  <si>
    <t xml:space="preserve">Sources, method, overrides</t>
  </si>
  <si>
    <t xml:space="preserve">TRE_score</t>
  </si>
  <si>
    <t xml:space="preserve">Valid</t>
  </si>
  <si>
    <t xml:space="preserve">I_n</t>
  </si>
  <si>
    <t xml:space="preserve">P_n</t>
  </si>
  <si>
    <t xml:space="preserve">Pf_n</t>
  </si>
  <si>
    <t xml:space="preserve">C_n</t>
  </si>
  <si>
    <t xml:space="preserve">T_n</t>
  </si>
  <si>
    <t xml:space="preserve">tau_n</t>
  </si>
  <si>
    <t xml:space="preserve">TF_n</t>
  </si>
  <si>
    <t xml:space="preserve">Dashboard</t>
  </si>
  <si>
    <t xml:space="preserve">Key Metrics</t>
  </si>
  <si>
    <t xml:space="preserve">Top Risks by TRE_i</t>
  </si>
  <si>
    <t xml:space="preserve">Escalation Annotation (E / N)</t>
  </si>
  <si>
    <t xml:space="preserve">Total Governance Exposure (G = Σ TRE_i)</t>
  </si>
  <si>
    <t xml:space="preserve">Metric</t>
  </si>
  <si>
    <t xml:space="preserve">Value</t>
  </si>
  <si>
    <t xml:space="preserve">Acceptance Threshold (A)</t>
  </si>
  <si>
    <t xml:space="preserve">G_E (Σ TRE_i, Type E)</t>
  </si>
  <si>
    <t xml:space="preserve">Risk Load Ratio (LR = G / A)</t>
  </si>
  <si>
    <t xml:space="preserve">G_N (Σ TRE_i, Type N)</t>
  </si>
  <si>
    <t xml:space="preserve">LR Status</t>
  </si>
  <si>
    <t xml:space="preserve">Type E share of G</t>
  </si>
  <si>
    <t xml:space="preserve">Risks included (complete rows)</t>
  </si>
  <si>
    <t xml:space="preserve"># Type E risks</t>
  </si>
  <si>
    <t xml:space="preserve">Rows with missing inputs</t>
  </si>
  <si>
    <t xml:space="preserve"># Type E in Top 10</t>
  </si>
  <si>
    <t xml:space="preserve">Per the methodology, E/N is priority metadata only: it does not change G or LR and is not re-quantified (no separate LR_E).</t>
  </si>
  <si>
    <t xml:space="preserve">Domain Composition (Σ TRE_i)</t>
  </si>
  <si>
    <t xml:space="preserve">Σ TRE_i</t>
  </si>
  <si>
    <t xml:space="preserve">Share of G</t>
  </si>
  <si>
    <t xml:space="preserve">Scenario Comparison</t>
  </si>
  <si>
    <t xml:space="preserve">How it works</t>
  </si>
  <si>
    <t xml:space="preserve">Each scenario re-runs the full model on the same risk register with adjusted governance levers:
C_s = min(1, C + ΔC)   →   P_gov,s = P_floor + (P − P_floor)(1 − C_s)
N_s = H_s / T   (H_s blank → Setup H)
τ_s = max(1, τ × τ_mult)      TF_s = max(1, TF_used × TF_mult)
G_s = Σ I × [1 − (1 − P_gov,s)^N_s] × τ_s × TF_s      LR_s = G_s / A_s   (A_s blank → Setup A)</t>
  </si>
  <si>
    <t xml:space="preserve">Scenario Inputs</t>
  </si>
  <si>
    <t xml:space="preserve">Scenario</t>
  </si>
  <si>
    <t xml:space="preserve">A_s</t>
  </si>
  <si>
    <t xml:space="preserve">ΔC</t>
  </si>
  <si>
    <t xml:space="preserve">tau_mult</t>
  </si>
  <si>
    <t xml:space="preserve">TF_mult</t>
  </si>
  <si>
    <t xml:space="preserve">H_s</t>
  </si>
  <si>
    <t xml:space="preserve">G_s</t>
  </si>
  <si>
    <t xml:space="preserve">LR_s</t>
  </si>
  <si>
    <t xml:space="preserve">Status</t>
  </si>
  <si>
    <t xml:space="preserve">ΔLR vs Base</t>
  </si>
  <si>
    <t xml:space="preserve">Base</t>
  </si>
  <si>
    <t xml:space="preserve">Governance +0.1 (C)</t>
  </si>
  <si>
    <t xml:space="preserve">Faster tempo (τ × 1.2)</t>
  </si>
  <si>
    <t xml:space="preserve">Typology relief (TF × 0.9)</t>
  </si>
  <si>
    <t xml:space="preserve">Longer horizon (H = 60)</t>
  </si>
  <si>
    <t xml:space="preserve">Check: the Base row (ΔC = 0, multipliers = 1, H_s and A_s blank) must equal Dashboard G and LR. τ_mult &gt; 1 models a faster, more pressured tempo; τ and TF never drop below 1.</t>
  </si>
  <si>
    <t xml:space="preserve">Summary Exports (Governance-ready)</t>
  </si>
  <si>
    <t xml:space="preserve">Key Outputs</t>
  </si>
  <si>
    <t xml:space="preserve">Domain × Σ TRE_i</t>
  </si>
  <si>
    <t xml:space="preserve">G (Total Governance Exposure)</t>
  </si>
  <si>
    <t xml:space="preserve">A (Acceptance Threshold)</t>
  </si>
  <si>
    <t xml:space="preserve">LR = G / A</t>
  </si>
  <si>
    <t xml:space="preserve">G_E (Type E, annotation)</t>
  </si>
  <si>
    <t xml:space="preserve">Top Risks (stable ranking by TRE_i)</t>
  </si>
  <si>
    <t xml:space="preserve">Rank</t>
  </si>
  <si>
    <t xml:space="preserve">Score (hidden)</t>
  </si>
  <si>
    <t xml:space="preserve">Change Log (Audit Trail)</t>
  </si>
  <si>
    <t xml:space="preserve">Record edits to risk inputs or governance assumptions.
Without macros, Excel cannot automatically capture editor identity; treat this as an operational discipline.
Tip: After entries, copy column B and paste values to freeze timestamps.</t>
  </si>
  <si>
    <t xml:space="preserve">Change_ID</t>
  </si>
  <si>
    <t xml:space="preserve">Date_Time</t>
  </si>
  <si>
    <t xml:space="preserve">Editor</t>
  </si>
  <si>
    <t xml:space="preserve">Old_Value</t>
  </si>
  <si>
    <t xml:space="preserve">New_Value</t>
  </si>
  <si>
    <t xml:space="preserve">Reason / Evidence</t>
  </si>
  <si>
    <t xml:space="preserve">Scenario_Impacted (Y/N)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</si>
</sst>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.0%"/>
    <numFmt numFmtId="168" formatCode="0"/>
    <numFmt numFmtId="169" formatCode="\+0.00;\-0.00;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7"/>
      <name val="Calibri"/>
      <family val="0"/>
      <charset val="1"/>
    </font>
    <font>
      <b val="true"/>
      <sz val="12"/>
      <color rgb="FF11182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11182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9FAFB"/>
        <bgColor rgb="FFFFFFFF"/>
      </patternFill>
    </fill>
    <fill>
      <patternFill patternType="solid">
        <fgColor rgb="FFD9E8FF"/>
        <bgColor rgb="FFEEF4FF"/>
      </patternFill>
    </fill>
    <fill>
      <patternFill patternType="solid">
        <fgColor rgb="FFEEF4FF"/>
        <bgColor rgb="FFF3F4F6"/>
      </patternFill>
    </fill>
    <fill>
      <patternFill patternType="solid">
        <fgColor rgb="FFF3F4F6"/>
        <bgColor rgb="FFEEF4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F4F6"/>
      <rgbColor rgb="FF808080"/>
      <rgbColor rgb="FF9999FF"/>
      <rgbColor rgb="FF993366"/>
      <rgbColor rgb="FFF9FAFB"/>
      <rgbColor rgb="FFD9E8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9.7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270" hidden="false" customHeight="true" outlineLevel="0" collapsed="false">
      <c r="A4" s="4" t="s">
        <v>2</v>
      </c>
    </row>
    <row r="6" customFormat="false" ht="15" hidden="false" customHeight="false" outlineLevel="0" collapsed="false">
      <c r="A6" s="3" t="s">
        <v>3</v>
      </c>
    </row>
    <row r="7" customFormat="false" ht="120" hidden="false" customHeight="true" outlineLevel="0" collapsed="false">
      <c r="A7" s="4" t="s">
        <v>4</v>
      </c>
    </row>
    <row r="9" customFormat="false" ht="15" hidden="false" customHeight="false" outlineLevel="0" collapsed="false">
      <c r="A9" s="3" t="s">
        <v>5</v>
      </c>
    </row>
    <row r="10" customFormat="false" ht="90" hidden="false" customHeight="true" outlineLevel="0" collapsed="false">
      <c r="A10" s="4" t="s">
        <v>6</v>
      </c>
    </row>
    <row r="12" customFormat="false" ht="15" hidden="false" customHeight="false" outlineLevel="0" collapsed="false">
      <c r="A12" s="3" t="s">
        <v>7</v>
      </c>
    </row>
    <row r="13" customFormat="false" ht="45" hidden="false" customHeight="true" outlineLevel="0" collapsed="false">
      <c r="A13" s="4" t="s">
        <v>8</v>
      </c>
    </row>
    <row r="15" customFormat="false" ht="15" hidden="false" customHeight="false" outlineLevel="0" collapsed="false">
      <c r="A15" s="3" t="s">
        <v>9</v>
      </c>
    </row>
    <row r="16" customFormat="false" ht="30" hidden="false" customHeight="true" outlineLevel="0" collapsed="false">
      <c r="A16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62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19.7" hidden="false" customHeight="false" outlineLevel="0" collapsed="false">
      <c r="A1" s="2" t="s">
        <v>11</v>
      </c>
    </row>
    <row r="3" customFormat="false" ht="15" hidden="false" customHeight="false" outlineLevel="0" collapsed="false">
      <c r="A3" s="5" t="s">
        <v>12</v>
      </c>
    </row>
    <row r="5" customFormat="false" ht="28.35" hidden="false" customHeight="false" outlineLevel="0" collapsed="false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</row>
    <row r="6" customFormat="false" ht="15" hidden="false" customHeight="false" outlineLevel="0" collapsed="false">
      <c r="A6" s="7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</row>
    <row r="7" customFormat="false" ht="28.35" hidden="false" customHeight="false" outlineLevel="0" collapsed="false">
      <c r="A7" s="7" t="s">
        <v>25</v>
      </c>
      <c r="B7" s="8" t="s">
        <v>20</v>
      </c>
      <c r="C7" s="8" t="s">
        <v>26</v>
      </c>
      <c r="D7" s="8" t="s">
        <v>27</v>
      </c>
      <c r="E7" s="8" t="s">
        <v>28</v>
      </c>
      <c r="F7" s="8" t="s">
        <v>29</v>
      </c>
    </row>
    <row r="8" customFormat="false" ht="15" hidden="false" customHeight="false" outlineLevel="0" collapsed="false">
      <c r="A8" s="7" t="s">
        <v>30</v>
      </c>
      <c r="B8" s="8" t="s">
        <v>20</v>
      </c>
      <c r="C8" s="8" t="s">
        <v>31</v>
      </c>
      <c r="D8" s="8" t="s">
        <v>32</v>
      </c>
      <c r="E8" s="8" t="s">
        <v>33</v>
      </c>
      <c r="F8" s="8" t="s">
        <v>34</v>
      </c>
    </row>
    <row r="9" customFormat="false" ht="28.35" hidden="false" customHeight="false" outlineLevel="0" collapsed="false">
      <c r="A9" s="7" t="s">
        <v>35</v>
      </c>
      <c r="B9" s="8" t="s">
        <v>20</v>
      </c>
      <c r="C9" s="8" t="s">
        <v>36</v>
      </c>
      <c r="D9" s="8" t="s">
        <v>37</v>
      </c>
      <c r="E9" s="8" t="s">
        <v>38</v>
      </c>
      <c r="F9" s="8" t="s">
        <v>39</v>
      </c>
    </row>
    <row r="10" customFormat="false" ht="28.35" hidden="false" customHeight="false" outlineLevel="0" collapsed="false">
      <c r="A10" s="7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</row>
    <row r="11" customFormat="false" ht="28.35" hidden="false" customHeight="false" outlineLevel="0" collapsed="false">
      <c r="A11" s="7" t="s">
        <v>46</v>
      </c>
      <c r="B11" s="8" t="s">
        <v>47</v>
      </c>
      <c r="C11" s="8" t="s">
        <v>48</v>
      </c>
      <c r="D11" s="8" t="s">
        <v>49</v>
      </c>
      <c r="E11" s="8" t="s">
        <v>50</v>
      </c>
      <c r="F11" s="8" t="s">
        <v>51</v>
      </c>
    </row>
    <row r="12" customFormat="false" ht="28.35" hidden="false" customHeight="false" outlineLevel="0" collapsed="false">
      <c r="A12" s="7" t="s">
        <v>52</v>
      </c>
      <c r="B12" s="8" t="s">
        <v>41</v>
      </c>
      <c r="C12" s="8" t="s">
        <v>53</v>
      </c>
      <c r="D12" s="8" t="s">
        <v>54</v>
      </c>
      <c r="E12" s="8" t="s">
        <v>55</v>
      </c>
      <c r="F12" s="8" t="s">
        <v>56</v>
      </c>
    </row>
    <row r="13" customFormat="false" ht="15" hidden="false" customHeight="false" outlineLevel="0" collapsed="false">
      <c r="A13" s="7" t="s">
        <v>57</v>
      </c>
      <c r="B13" s="8" t="s">
        <v>41</v>
      </c>
      <c r="C13" s="8" t="s">
        <v>58</v>
      </c>
      <c r="D13" s="8" t="s">
        <v>59</v>
      </c>
      <c r="E13" s="8" t="s">
        <v>60</v>
      </c>
      <c r="F13" s="8" t="s">
        <v>61</v>
      </c>
    </row>
    <row r="14" customFormat="false" ht="41.75" hidden="false" customHeight="false" outlineLevel="0" collapsed="false">
      <c r="A14" s="7" t="s">
        <v>62</v>
      </c>
      <c r="B14" s="8" t="s">
        <v>47</v>
      </c>
      <c r="C14" s="8" t="s">
        <v>63</v>
      </c>
      <c r="D14" s="8" t="s">
        <v>64</v>
      </c>
      <c r="E14" s="8" t="s">
        <v>65</v>
      </c>
      <c r="F14" s="8" t="s">
        <v>66</v>
      </c>
    </row>
    <row r="15" customFormat="false" ht="28.35" hidden="false" customHeight="false" outlineLevel="0" collapsed="false">
      <c r="A15" s="7" t="s">
        <v>67</v>
      </c>
      <c r="B15" s="8" t="s">
        <v>68</v>
      </c>
      <c r="C15" s="8" t="s">
        <v>69</v>
      </c>
      <c r="D15" s="8" t="s">
        <v>70</v>
      </c>
      <c r="E15" s="8" t="s">
        <v>71</v>
      </c>
      <c r="F15" s="8" t="s">
        <v>72</v>
      </c>
    </row>
    <row r="16" customFormat="false" ht="15" hidden="false" customHeight="false" outlineLevel="0" collapsed="false">
      <c r="A16" s="7" t="s">
        <v>73</v>
      </c>
      <c r="B16" s="8" t="s">
        <v>68</v>
      </c>
      <c r="C16" s="8" t="s">
        <v>74</v>
      </c>
      <c r="D16" s="8" t="s">
        <v>75</v>
      </c>
      <c r="E16" s="8" t="s">
        <v>71</v>
      </c>
      <c r="F16" s="8" t="s">
        <v>56</v>
      </c>
    </row>
    <row r="17" customFormat="false" ht="15" hidden="false" customHeight="false" outlineLevel="0" collapsed="false">
      <c r="A17" s="7" t="s">
        <v>76</v>
      </c>
      <c r="B17" s="8" t="s">
        <v>68</v>
      </c>
      <c r="C17" s="8" t="s">
        <v>77</v>
      </c>
      <c r="D17" s="8" t="s">
        <v>78</v>
      </c>
      <c r="E17" s="8" t="s">
        <v>71</v>
      </c>
      <c r="F17" s="8" t="s">
        <v>79</v>
      </c>
    </row>
    <row r="18" customFormat="false" ht="28.35" hidden="false" customHeight="false" outlineLevel="0" collapsed="false">
      <c r="A18" s="7" t="s">
        <v>80</v>
      </c>
      <c r="B18" s="8" t="s">
        <v>47</v>
      </c>
      <c r="C18" s="8" t="s">
        <v>81</v>
      </c>
      <c r="D18" s="8" t="s">
        <v>82</v>
      </c>
      <c r="E18" s="8" t="s">
        <v>83</v>
      </c>
      <c r="F18" s="8" t="s">
        <v>84</v>
      </c>
    </row>
    <row r="19" customFormat="false" ht="15" hidden="false" customHeight="false" outlineLevel="0" collapsed="false">
      <c r="A19" s="7" t="s">
        <v>85</v>
      </c>
      <c r="B19" s="8" t="s">
        <v>68</v>
      </c>
      <c r="C19" s="8" t="s">
        <v>86</v>
      </c>
      <c r="D19" s="8" t="s">
        <v>87</v>
      </c>
      <c r="E19" s="8" t="s">
        <v>83</v>
      </c>
      <c r="F19" s="8" t="s">
        <v>88</v>
      </c>
    </row>
    <row r="20" customFormat="false" ht="28.35" hidden="false" customHeight="false" outlineLevel="0" collapsed="false">
      <c r="A20" s="7" t="s">
        <v>89</v>
      </c>
      <c r="B20" s="8" t="s">
        <v>90</v>
      </c>
      <c r="C20" s="8" t="s">
        <v>91</v>
      </c>
      <c r="D20" s="8" t="s">
        <v>92</v>
      </c>
      <c r="E20" s="8" t="s">
        <v>93</v>
      </c>
      <c r="F20" s="8" t="s">
        <v>94</v>
      </c>
    </row>
    <row r="21" customFormat="false" ht="15" hidden="false" customHeight="false" outlineLevel="0" collapsed="false">
      <c r="A21" s="7" t="s">
        <v>95</v>
      </c>
      <c r="B21" s="8" t="s">
        <v>20</v>
      </c>
      <c r="C21" s="8" t="s">
        <v>96</v>
      </c>
      <c r="D21" s="8" t="s">
        <v>97</v>
      </c>
      <c r="E21" s="8" t="s">
        <v>38</v>
      </c>
      <c r="F21" s="8" t="s">
        <v>98</v>
      </c>
    </row>
    <row r="22" customFormat="false" ht="15" hidden="false" customHeight="false" outlineLevel="0" collapsed="false">
      <c r="A22" s="7" t="s">
        <v>99</v>
      </c>
      <c r="B22" s="8" t="s">
        <v>100</v>
      </c>
      <c r="C22" s="8" t="s">
        <v>101</v>
      </c>
      <c r="D22" s="8" t="s">
        <v>102</v>
      </c>
      <c r="E22" s="8" t="s">
        <v>103</v>
      </c>
      <c r="F22" s="8" t="s">
        <v>104</v>
      </c>
    </row>
    <row r="23" customFormat="false" ht="15" hidden="false" customHeight="false" outlineLevel="0" collapsed="false">
      <c r="A23" s="7" t="s">
        <v>105</v>
      </c>
      <c r="B23" s="8" t="s">
        <v>100</v>
      </c>
      <c r="C23" s="8" t="s">
        <v>106</v>
      </c>
      <c r="D23" s="8" t="s">
        <v>107</v>
      </c>
      <c r="E23" s="8" t="s">
        <v>103</v>
      </c>
      <c r="F23" s="8" t="s">
        <v>108</v>
      </c>
    </row>
    <row r="24" customFormat="false" ht="15" hidden="false" customHeight="false" outlineLevel="0" collapsed="false">
      <c r="A24" s="7" t="s">
        <v>109</v>
      </c>
      <c r="B24" s="8" t="s">
        <v>100</v>
      </c>
      <c r="C24" s="8" t="s">
        <v>110</v>
      </c>
      <c r="D24" s="8" t="s">
        <v>111</v>
      </c>
      <c r="E24" s="8" t="s">
        <v>103</v>
      </c>
      <c r="F24" s="8" t="s">
        <v>112</v>
      </c>
    </row>
    <row r="25" customFormat="false" ht="15" hidden="false" customHeight="false" outlineLevel="0" collapsed="false">
      <c r="A25" s="7" t="s">
        <v>113</v>
      </c>
      <c r="B25" s="8" t="s">
        <v>114</v>
      </c>
      <c r="C25" s="8" t="s">
        <v>115</v>
      </c>
      <c r="D25" s="8" t="s">
        <v>116</v>
      </c>
      <c r="E25" s="8" t="s">
        <v>103</v>
      </c>
      <c r="F25" s="8" t="s">
        <v>117</v>
      </c>
    </row>
    <row r="26" customFormat="false" ht="15" hidden="false" customHeight="false" outlineLevel="0" collapsed="false">
      <c r="A26" s="7" t="s">
        <v>118</v>
      </c>
      <c r="B26" s="8" t="s">
        <v>114</v>
      </c>
      <c r="C26" s="8" t="s">
        <v>119</v>
      </c>
      <c r="D26" s="8" t="s">
        <v>120</v>
      </c>
      <c r="E26" s="8" t="s">
        <v>103</v>
      </c>
      <c r="F26" s="8" t="s">
        <v>121</v>
      </c>
    </row>
    <row r="27" customFormat="false" ht="15" hidden="false" customHeight="false" outlineLevel="0" collapsed="false">
      <c r="A27" s="7" t="s">
        <v>122</v>
      </c>
      <c r="B27" s="8" t="s">
        <v>114</v>
      </c>
      <c r="C27" s="8" t="s">
        <v>123</v>
      </c>
      <c r="D27" s="8" t="s">
        <v>124</v>
      </c>
      <c r="E27" s="8" t="s">
        <v>125</v>
      </c>
      <c r="F27" s="8" t="s">
        <v>126</v>
      </c>
    </row>
    <row r="28" customFormat="false" ht="15" hidden="false" customHeight="false" outlineLevel="0" collapsed="false">
      <c r="A28" s="7" t="s">
        <v>127</v>
      </c>
      <c r="B28" s="8" t="s">
        <v>128</v>
      </c>
      <c r="C28" s="8" t="s">
        <v>129</v>
      </c>
      <c r="D28" s="8" t="s">
        <v>130</v>
      </c>
      <c r="E28" s="8" t="s">
        <v>71</v>
      </c>
      <c r="F28" s="8" t="s">
        <v>131</v>
      </c>
    </row>
    <row r="29" customFormat="false" ht="15" hidden="false" customHeight="false" outlineLevel="0" collapsed="false">
      <c r="A29" s="7" t="s">
        <v>132</v>
      </c>
      <c r="B29" s="8" t="s">
        <v>128</v>
      </c>
      <c r="C29" s="8" t="s">
        <v>133</v>
      </c>
      <c r="D29" s="8" t="s">
        <v>134</v>
      </c>
      <c r="E29" s="8" t="s">
        <v>125</v>
      </c>
      <c r="F29" s="8" t="s">
        <v>135</v>
      </c>
    </row>
    <row r="30" customFormat="false" ht="15" hidden="false" customHeight="false" outlineLevel="0" collapsed="false">
      <c r="A30" s="7" t="s">
        <v>136</v>
      </c>
      <c r="B30" s="8" t="s">
        <v>128</v>
      </c>
      <c r="C30" s="8" t="s">
        <v>137</v>
      </c>
      <c r="D30" s="8" t="s">
        <v>138</v>
      </c>
      <c r="E30" s="8" t="s">
        <v>125</v>
      </c>
      <c r="F30" s="8" t="s">
        <v>135</v>
      </c>
    </row>
    <row r="31" customFormat="false" ht="15" hidden="false" customHeight="false" outlineLevel="0" collapsed="false">
      <c r="A31" s="7" t="s">
        <v>139</v>
      </c>
      <c r="B31" s="8" t="s">
        <v>114</v>
      </c>
      <c r="C31" s="8" t="s">
        <v>140</v>
      </c>
      <c r="D31" s="8" t="s">
        <v>141</v>
      </c>
      <c r="E31" s="8" t="s">
        <v>103</v>
      </c>
      <c r="F31" s="8" t="s">
        <v>142</v>
      </c>
    </row>
    <row r="32" customFormat="false" ht="15" hidden="false" customHeight="false" outlineLevel="0" collapsed="false">
      <c r="A32" s="7" t="s">
        <v>143</v>
      </c>
      <c r="B32" s="8" t="s">
        <v>128</v>
      </c>
      <c r="C32" s="8" t="s">
        <v>144</v>
      </c>
      <c r="D32" s="8" t="s">
        <v>145</v>
      </c>
      <c r="E32" s="8" t="s">
        <v>103</v>
      </c>
      <c r="F32" s="8" t="s">
        <v>146</v>
      </c>
    </row>
    <row r="33" customFormat="false" ht="15" hidden="false" customHeight="false" outlineLevel="0" collapsed="false">
      <c r="A33" s="7" t="s">
        <v>147</v>
      </c>
      <c r="B33" s="8" t="s">
        <v>148</v>
      </c>
      <c r="C33" s="8" t="s">
        <v>149</v>
      </c>
      <c r="D33" s="8" t="s">
        <v>150</v>
      </c>
      <c r="E33" s="8" t="s">
        <v>103</v>
      </c>
      <c r="F33" s="8" t="s">
        <v>151</v>
      </c>
    </row>
    <row r="34" customFormat="false" ht="15" hidden="false" customHeight="false" outlineLevel="0" collapsed="false">
      <c r="A34" s="7" t="s">
        <v>152</v>
      </c>
      <c r="B34" s="8" t="s">
        <v>153</v>
      </c>
      <c r="C34" s="8" t="s">
        <v>154</v>
      </c>
      <c r="D34" s="8" t="s">
        <v>155</v>
      </c>
      <c r="E34" s="8" t="s">
        <v>103</v>
      </c>
      <c r="F34" s="8" t="s">
        <v>20</v>
      </c>
    </row>
    <row r="35" customFormat="false" ht="15" hidden="false" customHeight="false" outlineLevel="0" collapsed="false">
      <c r="A35" s="7" t="s">
        <v>156</v>
      </c>
      <c r="B35" s="8" t="s">
        <v>157</v>
      </c>
      <c r="C35" s="8" t="s">
        <v>158</v>
      </c>
      <c r="D35" s="8" t="s">
        <v>159</v>
      </c>
      <c r="E35" s="8" t="s">
        <v>55</v>
      </c>
      <c r="F35" s="8" t="s">
        <v>160</v>
      </c>
    </row>
    <row r="36" customFormat="false" ht="15" hidden="false" customHeight="false" outlineLevel="0" collapsed="false">
      <c r="A36" s="7" t="s">
        <v>161</v>
      </c>
      <c r="B36" s="8" t="s">
        <v>157</v>
      </c>
      <c r="C36" s="8" t="s">
        <v>162</v>
      </c>
      <c r="D36" s="8" t="s">
        <v>163</v>
      </c>
      <c r="E36" s="8" t="s">
        <v>103</v>
      </c>
      <c r="F36" s="8" t="s">
        <v>164</v>
      </c>
    </row>
    <row r="37" customFormat="false" ht="15" hidden="false" customHeight="false" outlineLevel="0" collapsed="false">
      <c r="A37" s="7" t="s">
        <v>165</v>
      </c>
      <c r="B37" s="8" t="s">
        <v>148</v>
      </c>
      <c r="C37" s="8" t="s">
        <v>166</v>
      </c>
      <c r="D37" s="8" t="s">
        <v>167</v>
      </c>
      <c r="E37" s="8" t="s">
        <v>103</v>
      </c>
      <c r="F37" s="8" t="s">
        <v>20</v>
      </c>
    </row>
  </sheetData>
  <sheetProtection sheet="true" password="CB7F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5" min="5" style="1" width="18"/>
  </cols>
  <sheetData>
    <row r="1" customFormat="false" ht="19.7" hidden="false" customHeight="false" outlineLevel="0" collapsed="false">
      <c r="A1" s="2" t="s">
        <v>168</v>
      </c>
    </row>
    <row r="2" customFormat="false" ht="15" hidden="false" customHeight="false" outlineLevel="0" collapsed="false">
      <c r="A2" s="5" t="s">
        <v>169</v>
      </c>
    </row>
    <row r="3" customFormat="false" ht="15" hidden="false" customHeight="false" outlineLevel="0" collapsed="false">
      <c r="A3" s="3" t="s">
        <v>170</v>
      </c>
    </row>
    <row r="4" customFormat="false" ht="23.85" hidden="false" customHeight="false" outlineLevel="0" collapsed="false">
      <c r="A4" s="9" t="s">
        <v>171</v>
      </c>
      <c r="B4" s="10" t="s">
        <v>172</v>
      </c>
      <c r="C4" s="11" t="s">
        <v>173</v>
      </c>
    </row>
    <row r="5" customFormat="false" ht="15" hidden="false" customHeight="false" outlineLevel="0" collapsed="false">
      <c r="A5" s="9" t="s">
        <v>174</v>
      </c>
      <c r="B5" s="12" t="n">
        <v>36</v>
      </c>
      <c r="C5" s="11" t="s">
        <v>175</v>
      </c>
    </row>
    <row r="6" customFormat="false" ht="15" hidden="false" customHeight="false" outlineLevel="0" collapsed="false">
      <c r="A6" s="9" t="s">
        <v>176</v>
      </c>
      <c r="B6" s="12" t="n">
        <v>12</v>
      </c>
      <c r="C6" s="11" t="s">
        <v>177</v>
      </c>
    </row>
    <row r="7" customFormat="false" ht="15" hidden="false" customHeight="false" outlineLevel="0" collapsed="false">
      <c r="A7" s="9" t="s">
        <v>178</v>
      </c>
      <c r="B7" s="12" t="n">
        <v>0.25</v>
      </c>
      <c r="C7" s="11" t="s">
        <v>179</v>
      </c>
    </row>
    <row r="9" customFormat="false" ht="15" hidden="false" customHeight="false" outlineLevel="0" collapsed="false">
      <c r="A9" s="3" t="s">
        <v>180</v>
      </c>
    </row>
    <row r="10" customFormat="false" ht="15" hidden="false" customHeight="false" outlineLevel="0" collapsed="false">
      <c r="A10" s="9" t="s">
        <v>181</v>
      </c>
      <c r="B10" s="13" t="n">
        <f aca="false">1/3</f>
        <v>0.333333333333333</v>
      </c>
      <c r="C10" s="11" t="s">
        <v>182</v>
      </c>
    </row>
    <row r="11" customFormat="false" ht="15" hidden="false" customHeight="false" outlineLevel="0" collapsed="false">
      <c r="A11" s="9" t="s">
        <v>183</v>
      </c>
      <c r="B11" s="13" t="n">
        <f aca="false">1/3</f>
        <v>0.333333333333333</v>
      </c>
    </row>
    <row r="12" customFormat="false" ht="15" hidden="false" customHeight="false" outlineLevel="0" collapsed="false">
      <c r="A12" s="9" t="s">
        <v>184</v>
      </c>
      <c r="B12" s="13" t="n">
        <f aca="false">1/3</f>
        <v>0.333333333333333</v>
      </c>
    </row>
    <row r="13" customFormat="false" ht="15" hidden="false" customHeight="false" outlineLevel="0" collapsed="false">
      <c r="A13" s="9" t="s">
        <v>185</v>
      </c>
      <c r="B13" s="14" t="str">
        <f aca="false">IF(ABS(B10+B11+B12-1)&lt;0.0001,"OK","ERROR: weights must sum to 1")</f>
        <v>OK</v>
      </c>
      <c r="C13" s="11" t="s">
        <v>186</v>
      </c>
    </row>
    <row r="14" customFormat="false" ht="15" hidden="false" customHeight="false" outlineLevel="0" collapsed="false">
      <c r="A14" s="9" t="s">
        <v>187</v>
      </c>
      <c r="B14" s="12" t="n">
        <v>0.25</v>
      </c>
      <c r="C14" s="11" t="s">
        <v>188</v>
      </c>
    </row>
    <row r="15" customFormat="false" ht="15" hidden="false" customHeight="false" outlineLevel="0" collapsed="false">
      <c r="A15" s="9" t="s">
        <v>189</v>
      </c>
      <c r="B15" s="10" t="s">
        <v>190</v>
      </c>
      <c r="C15" s="11" t="s">
        <v>191</v>
      </c>
    </row>
    <row r="17" customFormat="false" ht="15" hidden="false" customHeight="false" outlineLevel="0" collapsed="false">
      <c r="A17" s="3" t="s">
        <v>192</v>
      </c>
    </row>
    <row r="18" customFormat="false" ht="15" hidden="false" customHeight="false" outlineLevel="0" collapsed="false">
      <c r="A18" s="9" t="s">
        <v>193</v>
      </c>
      <c r="B18" s="12" t="n">
        <v>100</v>
      </c>
      <c r="C18" s="11" t="s">
        <v>194</v>
      </c>
    </row>
    <row r="19" customFormat="false" ht="15" hidden="false" customHeight="false" outlineLevel="0" collapsed="false">
      <c r="A19" s="9" t="s">
        <v>195</v>
      </c>
      <c r="B19" s="12" t="n">
        <v>1</v>
      </c>
      <c r="C19" s="11" t="s">
        <v>196</v>
      </c>
    </row>
    <row r="20" customFormat="false" ht="15" hidden="false" customHeight="false" outlineLevel="0" collapsed="false">
      <c r="A20" s="9" t="s">
        <v>197</v>
      </c>
      <c r="B20" s="12" t="n">
        <v>1</v>
      </c>
      <c r="C20" s="11" t="s">
        <v>198</v>
      </c>
    </row>
    <row r="21" customFormat="false" ht="15" hidden="false" customHeight="false" outlineLevel="0" collapsed="false">
      <c r="A21" s="9" t="s">
        <v>199</v>
      </c>
      <c r="B21" s="15"/>
      <c r="C21" s="11" t="s">
        <v>200</v>
      </c>
    </row>
    <row r="22" customFormat="false" ht="15" hidden="false" customHeight="false" outlineLevel="0" collapsed="false">
      <c r="A22" s="9" t="s">
        <v>201</v>
      </c>
      <c r="B22" s="16" t="n">
        <f aca="false">IF(B21&lt;&gt;"",B21,IF(AND(ISNUMBER(B18),ISNUMBER(B19),ISNUMBER(B20),B19&gt;0),B20*B18/B19,""))</f>
        <v>100</v>
      </c>
      <c r="C22" s="11" t="s">
        <v>202</v>
      </c>
    </row>
    <row r="24" customFormat="false" ht="15" hidden="false" customHeight="false" outlineLevel="0" collapsed="false">
      <c r="A24" s="3" t="s">
        <v>203</v>
      </c>
    </row>
    <row r="25" customFormat="false" ht="15" hidden="false" customHeight="false" outlineLevel="0" collapsed="false">
      <c r="A25" s="9" t="s">
        <v>204</v>
      </c>
      <c r="B25" s="12" t="n">
        <v>0.8</v>
      </c>
      <c r="C25" s="11" t="s">
        <v>205</v>
      </c>
    </row>
    <row r="26" customFormat="false" ht="15" hidden="false" customHeight="false" outlineLevel="0" collapsed="false">
      <c r="A26" s="9" t="s">
        <v>206</v>
      </c>
      <c r="B26" s="12" t="n">
        <v>1</v>
      </c>
      <c r="C26" s="11" t="s">
        <v>207</v>
      </c>
    </row>
    <row r="28" customFormat="false" ht="15" hidden="false" customHeight="false" outlineLevel="0" collapsed="false">
      <c r="A28" s="3" t="s">
        <v>208</v>
      </c>
      <c r="C28" s="3" t="s">
        <v>209</v>
      </c>
      <c r="E28" s="3" t="s">
        <v>210</v>
      </c>
    </row>
    <row r="29" customFormat="false" ht="15" hidden="false" customHeight="false" outlineLevel="0" collapsed="false">
      <c r="A29" s="17" t="s">
        <v>211</v>
      </c>
      <c r="C29" s="18" t="s">
        <v>94</v>
      </c>
      <c r="E29" s="18" t="s">
        <v>190</v>
      </c>
    </row>
    <row r="30" customFormat="false" ht="15" hidden="false" customHeight="false" outlineLevel="0" collapsed="false">
      <c r="A30" s="17" t="s">
        <v>212</v>
      </c>
      <c r="C30" s="18" t="s">
        <v>213</v>
      </c>
      <c r="E30" s="18" t="s">
        <v>214</v>
      </c>
    </row>
    <row r="31" customFormat="false" ht="15" hidden="false" customHeight="false" outlineLevel="0" collapsed="false">
      <c r="A31" s="17" t="s">
        <v>215</v>
      </c>
    </row>
    <row r="32" customFormat="false" ht="15" hidden="false" customHeight="false" outlineLevel="0" collapsed="false">
      <c r="A32" s="17" t="s">
        <v>34</v>
      </c>
    </row>
    <row r="33" customFormat="false" ht="15" hidden="false" customHeight="false" outlineLevel="0" collapsed="false">
      <c r="A33" s="17" t="s">
        <v>216</v>
      </c>
    </row>
    <row r="34" customFormat="false" ht="15" hidden="false" customHeight="false" outlineLevel="0" collapsed="false">
      <c r="A34" s="17" t="s">
        <v>217</v>
      </c>
    </row>
  </sheetData>
  <sheetProtection sheet="true" password="CB7F"/>
  <conditionalFormatting sqref="B13">
    <cfRule type="expression" priority="2" aboveAverage="0" equalAverage="0" bottom="0" percent="0" rank="0" text="" dxfId="0">
      <formula>LEFT(B13,5)="ERROR"</formula>
    </cfRule>
  </conditionalFormatting>
  <dataValidations count="3">
    <dataValidation allowBlank="false" errorStyle="stop" operator="between" showDropDown="false" showErrorMessage="false" showInputMessage="false" sqref="B15" type="list">
      <formula1>$E$29:$E$30</formula1>
      <formula2>0</formula2>
    </dataValidation>
    <dataValidation allowBlank="false" errorStyle="stop" operator="greaterThan" showDropDown="false" showErrorMessage="false" showInputMessage="false" sqref="B5:B6 B14 B18:B21" type="decimal">
      <formula1>0</formula1>
      <formula2>0</formula2>
    </dataValidation>
    <dataValidation allowBlank="false" errorStyle="stop" operator="greaterThanOrEqual" showDropDown="false" showErrorMessage="false" showInputMessage="false" sqref="B7 B10:B12 B25:B2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14" min="5" style="1" width="12"/>
    <col collapsed="false" customWidth="true" hidden="false" outlineLevel="0" max="15" min="15" style="1" width="16"/>
    <col collapsed="false" customWidth="true" hidden="false" outlineLevel="0" max="16" min="16" style="1" width="28"/>
  </cols>
  <sheetData>
    <row r="1" customFormat="false" ht="19.7" hidden="false" customHeight="false" outlineLevel="0" collapsed="false">
      <c r="A1" s="2" t="s">
        <v>218</v>
      </c>
    </row>
    <row r="3" customFormat="false" ht="15" hidden="false" customHeight="false" outlineLevel="0" collapsed="false">
      <c r="A3" s="3" t="s">
        <v>219</v>
      </c>
    </row>
    <row r="4" customFormat="false" ht="60" hidden="false" customHeight="true" outlineLevel="0" collapsed="false">
      <c r="A4" s="19" t="s">
        <v>220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6" customFormat="false" ht="30" hidden="false" customHeight="true" outlineLevel="0" collapsed="false">
      <c r="A6" s="6" t="s">
        <v>19</v>
      </c>
      <c r="B6" s="6" t="s">
        <v>25</v>
      </c>
      <c r="C6" s="6" t="s">
        <v>30</v>
      </c>
      <c r="D6" s="6" t="s">
        <v>35</v>
      </c>
      <c r="E6" s="6" t="s">
        <v>40</v>
      </c>
      <c r="F6" s="6" t="s">
        <v>46</v>
      </c>
      <c r="G6" s="6" t="s">
        <v>52</v>
      </c>
      <c r="H6" s="6" t="s">
        <v>57</v>
      </c>
      <c r="I6" s="6" t="s">
        <v>62</v>
      </c>
      <c r="J6" s="6" t="s">
        <v>67</v>
      </c>
      <c r="K6" s="6" t="s">
        <v>73</v>
      </c>
      <c r="L6" s="6" t="s">
        <v>76</v>
      </c>
      <c r="M6" s="6" t="s">
        <v>80</v>
      </c>
      <c r="N6" s="6" t="s">
        <v>85</v>
      </c>
      <c r="O6" s="6" t="s">
        <v>89</v>
      </c>
      <c r="P6" s="6" t="s">
        <v>95</v>
      </c>
    </row>
    <row r="7" customFormat="false" ht="42" hidden="false" customHeight="true" outlineLevel="0" collapsed="false">
      <c r="A7" s="20" t="s">
        <v>221</v>
      </c>
      <c r="B7" s="20" t="s">
        <v>222</v>
      </c>
      <c r="C7" s="20" t="s">
        <v>33</v>
      </c>
      <c r="D7" s="20" t="s">
        <v>223</v>
      </c>
      <c r="E7" s="20" t="s">
        <v>224</v>
      </c>
      <c r="F7" s="20" t="s">
        <v>225</v>
      </c>
      <c r="G7" s="20" t="s">
        <v>226</v>
      </c>
      <c r="H7" s="20" t="s">
        <v>227</v>
      </c>
      <c r="I7" s="20" t="s">
        <v>65</v>
      </c>
      <c r="J7" s="20" t="s">
        <v>228</v>
      </c>
      <c r="K7" s="20" t="s">
        <v>229</v>
      </c>
      <c r="L7" s="20" t="s">
        <v>230</v>
      </c>
      <c r="M7" s="20" t="s">
        <v>231</v>
      </c>
      <c r="N7" s="20" t="s">
        <v>231</v>
      </c>
      <c r="O7" s="20" t="s">
        <v>232</v>
      </c>
      <c r="P7" s="20" t="s">
        <v>233</v>
      </c>
    </row>
    <row r="8" customFormat="false" ht="15" hidden="false" customHeight="false" outlineLevel="0" collapsed="false">
      <c r="A8" s="10"/>
      <c r="B8" s="10"/>
      <c r="C8" s="12"/>
      <c r="D8" s="17"/>
      <c r="E8" s="12"/>
      <c r="F8" s="15"/>
      <c r="G8" s="12"/>
      <c r="H8" s="12"/>
      <c r="I8" s="12"/>
      <c r="J8" s="12"/>
      <c r="K8" s="12"/>
      <c r="L8" s="12"/>
      <c r="M8" s="15"/>
      <c r="N8" s="15"/>
      <c r="O8" s="12"/>
      <c r="P8" s="17"/>
    </row>
  </sheetData>
  <sheetProtection sheet="true" password="CB7F"/>
  <mergeCells count="1">
    <mergeCell ref="A4:P4"/>
  </mergeCells>
  <dataValidations count="8">
    <dataValidation allowBlank="false" errorStyle="stop" operator="greaterThan" showDropDown="false" showErrorMessage="false" showInputMessage="false" sqref="G8" type="decimal">
      <formula1>0</formula1>
      <formula2>0</formula2>
    </dataValidation>
    <dataValidation allowBlank="false" errorStyle="stop" operator="greaterThanOrEqual" showDropDown="false" showErrorMessage="false" showInputMessage="false" sqref="H8" type="decimal">
      <formula1>0</formula1>
      <formula2>0</formula2>
    </dataValidation>
    <dataValidation allowBlank="false" errorStyle="stop" operator="between" showDropDown="false" showErrorMessage="false" showInputMessage="false" sqref="C8" type="list">
      <formula1>Setup!$A$29:$A$34</formula1>
      <formula2>0</formula2>
    </dataValidation>
    <dataValidation allowBlank="false" errorStyle="stop" operator="between" showDropDown="false" showErrorMessage="false" showInputMessage="false" sqref="O8" type="list">
      <formula1>Setup!$C$29:$C$30</formula1>
      <formula2>0</formula2>
    </dataValidation>
    <dataValidation allowBlank="false" errorStyle="stop" operator="between" showDropDown="false" showErrorMessage="false" showInputMessage="false" sqref="E8:F8" type="decimal">
      <formula1>0</formula1>
      <formula2>1</formula2>
    </dataValidation>
    <dataValidation allowBlank="false" errorStyle="stop" operator="between" showDropDown="false" showErrorMessage="false" showInputMessage="false" sqref="I8" type="decimal">
      <formula1>-1</formula1>
      <formula2>1</formula2>
    </dataValidation>
    <dataValidation allowBlank="false" errorStyle="stop" operator="between" showDropDown="false" showErrorMessage="false" showInputMessage="false" sqref="J8:L8" type="whole">
      <formula1>1</formula1>
      <formula2>5</formula2>
    </dataValidation>
    <dataValidation allowBlank="false" errorStyle="stop" operator="greaterThanOrEqual" showDropDown="false" showErrorMessage="false" showInputMessage="false" sqref="M8:N8" type="decimal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9"/>
    <col collapsed="false" customWidth="true" hidden="false" outlineLevel="0" max="12" min="9" style="1" width="8"/>
    <col collapsed="false" customWidth="true" hidden="false" outlineLevel="0" max="14" min="13" style="1" width="10"/>
    <col collapsed="false" customWidth="true" hidden="false" outlineLevel="0" max="15" min="15" style="1" width="16"/>
    <col collapsed="false" customWidth="true" hidden="false" outlineLevel="0" max="16" min="16" style="1" width="28"/>
    <col collapsed="false" customWidth="true" hidden="false" outlineLevel="0" max="17" min="17" style="1" width="7"/>
    <col collapsed="false" customWidth="true" hidden="false" outlineLevel="0" max="18" min="18" style="1" width="9"/>
    <col collapsed="false" customWidth="true" hidden="false" outlineLevel="0" max="19" min="19" style="1" width="10"/>
    <col collapsed="false" customWidth="true" hidden="false" outlineLevel="0" max="20" min="20" style="1" width="9"/>
    <col collapsed="false" customWidth="true" hidden="false" outlineLevel="0" max="21" min="21" style="1" width="10"/>
    <col collapsed="false" customWidth="true" hidden="false" outlineLevel="0" max="23" min="22" style="1" width="8"/>
    <col collapsed="false" customWidth="true" hidden="false" outlineLevel="0" max="25" min="24" style="1" width="9"/>
    <col collapsed="false" customWidth="true" hidden="false" outlineLevel="0" max="27" min="26" style="1" width="10"/>
    <col collapsed="false" customWidth="true" hidden="false" outlineLevel="0" max="28" min="28" style="1" width="22"/>
    <col collapsed="false" customWidth="true" hidden="true" outlineLevel="0" max="29" min="29" style="1" width="10"/>
    <col collapsed="false" customWidth="true" hidden="true" outlineLevel="0" max="37" min="30" style="1" width="6"/>
  </cols>
  <sheetData>
    <row r="1" customFormat="false" ht="30" hidden="false" customHeight="true" outlineLevel="0" collapsed="false">
      <c r="A1" s="6" t="s">
        <v>19</v>
      </c>
      <c r="B1" s="6" t="s">
        <v>25</v>
      </c>
      <c r="C1" s="6" t="s">
        <v>30</v>
      </c>
      <c r="D1" s="6" t="s">
        <v>35</v>
      </c>
      <c r="E1" s="6" t="s">
        <v>40</v>
      </c>
      <c r="F1" s="6" t="s">
        <v>46</v>
      </c>
      <c r="G1" s="6" t="s">
        <v>52</v>
      </c>
      <c r="H1" s="6" t="s">
        <v>57</v>
      </c>
      <c r="I1" s="6" t="s">
        <v>62</v>
      </c>
      <c r="J1" s="6" t="s">
        <v>67</v>
      </c>
      <c r="K1" s="6" t="s">
        <v>73</v>
      </c>
      <c r="L1" s="6" t="s">
        <v>76</v>
      </c>
      <c r="M1" s="6" t="s">
        <v>80</v>
      </c>
      <c r="N1" s="6" t="s">
        <v>85</v>
      </c>
      <c r="O1" s="6" t="s">
        <v>89</v>
      </c>
      <c r="P1" s="6" t="s">
        <v>95</v>
      </c>
      <c r="Q1" s="6" t="s">
        <v>99</v>
      </c>
      <c r="R1" s="6" t="s">
        <v>105</v>
      </c>
      <c r="S1" s="6" t="s">
        <v>109</v>
      </c>
      <c r="T1" s="6" t="s">
        <v>113</v>
      </c>
      <c r="U1" s="6" t="s">
        <v>118</v>
      </c>
      <c r="V1" s="6" t="s">
        <v>122</v>
      </c>
      <c r="W1" s="6" t="s">
        <v>127</v>
      </c>
      <c r="X1" s="6" t="s">
        <v>132</v>
      </c>
      <c r="Y1" s="6" t="s">
        <v>136</v>
      </c>
      <c r="Z1" s="6" t="s">
        <v>139</v>
      </c>
      <c r="AA1" s="6" t="s">
        <v>143</v>
      </c>
      <c r="AB1" s="6" t="s">
        <v>147</v>
      </c>
      <c r="AC1" s="6" t="s">
        <v>234</v>
      </c>
      <c r="AD1" s="6" t="s">
        <v>235</v>
      </c>
      <c r="AE1" s="6" t="s">
        <v>236</v>
      </c>
      <c r="AF1" s="6" t="s">
        <v>237</v>
      </c>
      <c r="AG1" s="6" t="s">
        <v>238</v>
      </c>
      <c r="AH1" s="6" t="s">
        <v>239</v>
      </c>
      <c r="AI1" s="6" t="s">
        <v>240</v>
      </c>
      <c r="AJ1" s="6" t="s">
        <v>241</v>
      </c>
      <c r="AK1" s="6" t="s">
        <v>242</v>
      </c>
    </row>
    <row r="2" customFormat="false" ht="15" hidden="false" customHeight="false" outlineLevel="0" collapsed="false">
      <c r="A2" s="10"/>
      <c r="B2" s="10"/>
      <c r="C2" s="12"/>
      <c r="D2" s="17"/>
      <c r="E2" s="13"/>
      <c r="F2" s="21"/>
      <c r="G2" s="12"/>
      <c r="H2" s="12"/>
      <c r="I2" s="12"/>
      <c r="J2" s="12"/>
      <c r="K2" s="12"/>
      <c r="L2" s="12"/>
      <c r="M2" s="15"/>
      <c r="N2" s="15"/>
      <c r="O2" s="12"/>
      <c r="P2" s="17"/>
      <c r="Q2" s="22" t="str">
        <f aca="false">IF(OR($G2="",Setup!$B$5=""),"",Setup!$B$5/$G2)</f>
        <v/>
      </c>
      <c r="R2" s="23" t="str">
        <f aca="false">IF(OR($E2="",$Q2=""),"",1-(1-$E2)^$Q2)</f>
        <v/>
      </c>
      <c r="S2" s="22" t="str">
        <f aca="false">IF(OR($R2="",$H2=""),"",$H2*$R2)</f>
        <v/>
      </c>
      <c r="T2" s="23" t="str">
        <f aca="false">IF(OR($E2="",$I2=""),"",MIN(1,MIN(N($F2),$E2)+($E2-MIN(N($F2),$E2))*(1-$I2)))</f>
        <v/>
      </c>
      <c r="U2" s="23" t="str">
        <f aca="false">IF(OR($T2="",$Q2=""),"",1-(1-$T2)^$Q2)</f>
        <v/>
      </c>
      <c r="V2" s="23" t="str">
        <f aca="false">IF($M2&lt;&gt;"",$M2,IF($G2="","",MAX(1,(Setup!$B$6/$G2)^Setup!$B$7)))</f>
        <v/>
      </c>
      <c r="W2" s="22" t="str">
        <f aca="false">IF(COUNT($J2:$L2)&lt;3,"",Setup!$B$10*(6-$J2)+Setup!$B$11*$K2+Setup!$B$12*$L2)</f>
        <v/>
      </c>
      <c r="X2" s="23" t="str">
        <f aca="false">IF($W2="","",IF(LEFT(Setup!$B$15,1)="B",EXP(Setup!$B$14*($W2-1)),1+Setup!$B$14*($W2-1)))</f>
        <v/>
      </c>
      <c r="Y2" s="23" t="str">
        <f aca="false">IF($N2&lt;&gt;"",$N2,$X2)</f>
        <v/>
      </c>
      <c r="Z2" s="22" t="str">
        <f aca="false">IF(OR($H2="",$U2="",$V2=""),"",$H2*$U2*$V2)</f>
        <v/>
      </c>
      <c r="AA2" s="22" t="str">
        <f aca="false">IF(OR($Z2="",$Y2=""),"",$Z2*$Y2)</f>
        <v/>
      </c>
      <c r="AB2" s="1" t="str">
        <f aca="false">IF($A2="","",IF(OR($E2="",$G2="",$H2="",$I2="",AND($N2="",COUNT($J2:$L2)&lt;3)),"Missing: "&amp;IF($E2="","P ","")&amp;IF($G2="","T ","")&amp;IF($H2="","I ","")&amp;IF($I2="","C ","")&amp;IF(AND($N2="",COUNT($J2:$L2)&lt;3),"C_ctrl/C_ext/C_irr",""),IF(N($F2)&gt;$E2,"P_floor &gt; P (floor capped at P)","OK")))</f>
        <v/>
      </c>
      <c r="AC2" s="1" t="str">
        <f aca="false">IF($AA2="","",$AA2+ROW()/1000000)</f>
        <v/>
      </c>
      <c r="AD2" s="18" t="n">
        <f aca="false">IF(AND($A2&lt;&gt;"",ISNUMBER($AA2)),1,0)</f>
        <v>0</v>
      </c>
      <c r="AE2" s="18" t="n">
        <f aca="false">IF($AD2=1,$H2,0)</f>
        <v>0</v>
      </c>
      <c r="AF2" s="18" t="n">
        <f aca="false">IF($AD2=1,$E2,0)</f>
        <v>0</v>
      </c>
      <c r="AG2" s="18" t="n">
        <f aca="false">IF($AD2=1,MIN(N($F2),$E2),0)</f>
        <v>0</v>
      </c>
      <c r="AH2" s="18" t="n">
        <f aca="false">IF($AD2=1,$I2,0)</f>
        <v>0</v>
      </c>
      <c r="AI2" s="18" t="n">
        <f aca="false">IF($AD2=1,$G2,1)</f>
        <v>1</v>
      </c>
      <c r="AJ2" s="18" t="n">
        <f aca="false">IF($AD2=1,$V2,1)</f>
        <v>1</v>
      </c>
      <c r="AK2" s="18" t="n">
        <f aca="false">IF($AD2=1,$Y2,1)</f>
        <v>1</v>
      </c>
    </row>
    <row r="3" customFormat="false" ht="15" hidden="false" customHeight="false" outlineLevel="0" collapsed="false">
      <c r="A3" s="10"/>
      <c r="B3" s="10"/>
      <c r="C3" s="12"/>
      <c r="D3" s="17"/>
      <c r="E3" s="13"/>
      <c r="F3" s="21"/>
      <c r="G3" s="12"/>
      <c r="H3" s="12"/>
      <c r="I3" s="12"/>
      <c r="J3" s="12"/>
      <c r="K3" s="12"/>
      <c r="L3" s="12"/>
      <c r="M3" s="15"/>
      <c r="N3" s="15"/>
      <c r="O3" s="12"/>
      <c r="P3" s="17"/>
      <c r="Q3" s="22" t="str">
        <f aca="false">IF(OR($G3="",Setup!$B$5=""),"",Setup!$B$5/$G3)</f>
        <v/>
      </c>
      <c r="R3" s="23" t="str">
        <f aca="false">IF(OR($E3="",$Q3=""),"",1-(1-$E3)^$Q3)</f>
        <v/>
      </c>
      <c r="S3" s="22" t="str">
        <f aca="false">IF(OR($R3="",$H3=""),"",$H3*$R3)</f>
        <v/>
      </c>
      <c r="T3" s="23" t="str">
        <f aca="false">IF(OR($E3="",$I3=""),"",MIN(1,MIN(N($F3),$E3)+($E3-MIN(N($F3),$E3))*(1-$I3)))</f>
        <v/>
      </c>
      <c r="U3" s="23" t="str">
        <f aca="false">IF(OR($T3="",$Q3=""),"",1-(1-$T3)^$Q3)</f>
        <v/>
      </c>
      <c r="V3" s="23" t="str">
        <f aca="false">IF($M3&lt;&gt;"",$M3,IF($G3="","",MAX(1,(Setup!$B$6/$G3)^Setup!$B$7)))</f>
        <v/>
      </c>
      <c r="W3" s="22" t="str">
        <f aca="false">IF(COUNT($J3:$L3)&lt;3,"",Setup!$B$10*(6-$J3)+Setup!$B$11*$K3+Setup!$B$12*$L3)</f>
        <v/>
      </c>
      <c r="X3" s="23" t="str">
        <f aca="false">IF($W3="","",IF(LEFT(Setup!$B$15,1)="B",EXP(Setup!$B$14*($W3-1)),1+Setup!$B$14*($W3-1)))</f>
        <v/>
      </c>
      <c r="Y3" s="23" t="str">
        <f aca="false">IF($N3&lt;&gt;"",$N3,$X3)</f>
        <v/>
      </c>
      <c r="Z3" s="22" t="str">
        <f aca="false">IF(OR($H3="",$U3="",$V3=""),"",$H3*$U3*$V3)</f>
        <v/>
      </c>
      <c r="AA3" s="22" t="str">
        <f aca="false">IF(OR($Z3="",$Y3=""),"",$Z3*$Y3)</f>
        <v/>
      </c>
      <c r="AB3" s="1" t="str">
        <f aca="false">IF($A3="","",IF(OR($E3="",$G3="",$H3="",$I3="",AND($N3="",COUNT($J3:$L3)&lt;3)),"Missing: "&amp;IF($E3="","P ","")&amp;IF($G3="","T ","")&amp;IF($H3="","I ","")&amp;IF($I3="","C ","")&amp;IF(AND($N3="",COUNT($J3:$L3)&lt;3),"C_ctrl/C_ext/C_irr",""),IF(N($F3)&gt;$E3,"P_floor &gt; P (floor capped at P)","OK")))</f>
        <v/>
      </c>
      <c r="AC3" s="1" t="str">
        <f aca="false">IF($AA3="","",$AA3+ROW()/1000000)</f>
        <v/>
      </c>
      <c r="AD3" s="18" t="n">
        <f aca="false">IF(AND($A3&lt;&gt;"",ISNUMBER($AA3)),1,0)</f>
        <v>0</v>
      </c>
      <c r="AE3" s="18" t="n">
        <f aca="false">IF($AD3=1,$H3,0)</f>
        <v>0</v>
      </c>
      <c r="AF3" s="18" t="n">
        <f aca="false">IF($AD3=1,$E3,0)</f>
        <v>0</v>
      </c>
      <c r="AG3" s="18" t="n">
        <f aca="false">IF($AD3=1,MIN(N($F3),$E3),0)</f>
        <v>0</v>
      </c>
      <c r="AH3" s="18" t="n">
        <f aca="false">IF($AD3=1,$I3,0)</f>
        <v>0</v>
      </c>
      <c r="AI3" s="18" t="n">
        <f aca="false">IF($AD3=1,$G3,1)</f>
        <v>1</v>
      </c>
      <c r="AJ3" s="18" t="n">
        <f aca="false">IF($AD3=1,$V3,1)</f>
        <v>1</v>
      </c>
      <c r="AK3" s="18" t="n">
        <f aca="false">IF($AD3=1,$Y3,1)</f>
        <v>1</v>
      </c>
    </row>
    <row r="4" customFormat="false" ht="15" hidden="false" customHeight="false" outlineLevel="0" collapsed="false">
      <c r="A4" s="10"/>
      <c r="B4" s="10"/>
      <c r="C4" s="12"/>
      <c r="D4" s="17"/>
      <c r="E4" s="13"/>
      <c r="F4" s="21"/>
      <c r="G4" s="12"/>
      <c r="H4" s="12"/>
      <c r="I4" s="12"/>
      <c r="J4" s="12"/>
      <c r="K4" s="12"/>
      <c r="L4" s="12"/>
      <c r="M4" s="15"/>
      <c r="N4" s="15"/>
      <c r="O4" s="12"/>
      <c r="P4" s="17"/>
      <c r="Q4" s="22" t="str">
        <f aca="false">IF(OR($G4="",Setup!$B$5=""),"",Setup!$B$5/$G4)</f>
        <v/>
      </c>
      <c r="R4" s="23" t="str">
        <f aca="false">IF(OR($E4="",$Q4=""),"",1-(1-$E4)^$Q4)</f>
        <v/>
      </c>
      <c r="S4" s="22" t="str">
        <f aca="false">IF(OR($R4="",$H4=""),"",$H4*$R4)</f>
        <v/>
      </c>
      <c r="T4" s="23" t="str">
        <f aca="false">IF(OR($E4="",$I4=""),"",MIN(1,MIN(N($F4),$E4)+($E4-MIN(N($F4),$E4))*(1-$I4)))</f>
        <v/>
      </c>
      <c r="U4" s="23" t="str">
        <f aca="false">IF(OR($T4="",$Q4=""),"",1-(1-$T4)^$Q4)</f>
        <v/>
      </c>
      <c r="V4" s="23" t="str">
        <f aca="false">IF($M4&lt;&gt;"",$M4,IF($G4="","",MAX(1,(Setup!$B$6/$G4)^Setup!$B$7)))</f>
        <v/>
      </c>
      <c r="W4" s="22" t="str">
        <f aca="false">IF(COUNT($J4:$L4)&lt;3,"",Setup!$B$10*(6-$J4)+Setup!$B$11*$K4+Setup!$B$12*$L4)</f>
        <v/>
      </c>
      <c r="X4" s="23" t="str">
        <f aca="false">IF($W4="","",IF(LEFT(Setup!$B$15,1)="B",EXP(Setup!$B$14*($W4-1)),1+Setup!$B$14*($W4-1)))</f>
        <v/>
      </c>
      <c r="Y4" s="23" t="str">
        <f aca="false">IF($N4&lt;&gt;"",$N4,$X4)</f>
        <v/>
      </c>
      <c r="Z4" s="22" t="str">
        <f aca="false">IF(OR($H4="",$U4="",$V4=""),"",$H4*$U4*$V4)</f>
        <v/>
      </c>
      <c r="AA4" s="22" t="str">
        <f aca="false">IF(OR($Z4="",$Y4=""),"",$Z4*$Y4)</f>
        <v/>
      </c>
      <c r="AB4" s="1" t="str">
        <f aca="false">IF($A4="","",IF(OR($E4="",$G4="",$H4="",$I4="",AND($N4="",COUNT($J4:$L4)&lt;3)),"Missing: "&amp;IF($E4="","P ","")&amp;IF($G4="","T ","")&amp;IF($H4="","I ","")&amp;IF($I4="","C ","")&amp;IF(AND($N4="",COUNT($J4:$L4)&lt;3),"C_ctrl/C_ext/C_irr",""),IF(N($F4)&gt;$E4,"P_floor &gt; P (floor capped at P)","OK")))</f>
        <v/>
      </c>
      <c r="AC4" s="1" t="str">
        <f aca="false">IF($AA4="","",$AA4+ROW()/1000000)</f>
        <v/>
      </c>
      <c r="AD4" s="18" t="n">
        <f aca="false">IF(AND($A4&lt;&gt;"",ISNUMBER($AA4)),1,0)</f>
        <v>0</v>
      </c>
      <c r="AE4" s="18" t="n">
        <f aca="false">IF($AD4=1,$H4,0)</f>
        <v>0</v>
      </c>
      <c r="AF4" s="18" t="n">
        <f aca="false">IF($AD4=1,$E4,0)</f>
        <v>0</v>
      </c>
      <c r="AG4" s="18" t="n">
        <f aca="false">IF($AD4=1,MIN(N($F4),$E4),0)</f>
        <v>0</v>
      </c>
      <c r="AH4" s="18" t="n">
        <f aca="false">IF($AD4=1,$I4,0)</f>
        <v>0</v>
      </c>
      <c r="AI4" s="18" t="n">
        <f aca="false">IF($AD4=1,$G4,1)</f>
        <v>1</v>
      </c>
      <c r="AJ4" s="18" t="n">
        <f aca="false">IF($AD4=1,$V4,1)</f>
        <v>1</v>
      </c>
      <c r="AK4" s="18" t="n">
        <f aca="false">IF($AD4=1,$Y4,1)</f>
        <v>1</v>
      </c>
    </row>
    <row r="5" customFormat="false" ht="15" hidden="false" customHeight="false" outlineLevel="0" collapsed="false">
      <c r="A5" s="10"/>
      <c r="B5" s="10"/>
      <c r="C5" s="12"/>
      <c r="D5" s="17"/>
      <c r="E5" s="13"/>
      <c r="F5" s="21"/>
      <c r="G5" s="12"/>
      <c r="H5" s="12"/>
      <c r="I5" s="12"/>
      <c r="J5" s="12"/>
      <c r="K5" s="12"/>
      <c r="L5" s="12"/>
      <c r="M5" s="15"/>
      <c r="N5" s="15"/>
      <c r="O5" s="12"/>
      <c r="P5" s="17"/>
      <c r="Q5" s="22" t="str">
        <f aca="false">IF(OR($G5="",Setup!$B$5=""),"",Setup!$B$5/$G5)</f>
        <v/>
      </c>
      <c r="R5" s="23" t="str">
        <f aca="false">IF(OR($E5="",$Q5=""),"",1-(1-$E5)^$Q5)</f>
        <v/>
      </c>
      <c r="S5" s="22" t="str">
        <f aca="false">IF(OR($R5="",$H5=""),"",$H5*$R5)</f>
        <v/>
      </c>
      <c r="T5" s="23" t="str">
        <f aca="false">IF(OR($E5="",$I5=""),"",MIN(1,MIN(N($F5),$E5)+($E5-MIN(N($F5),$E5))*(1-$I5)))</f>
        <v/>
      </c>
      <c r="U5" s="23" t="str">
        <f aca="false">IF(OR($T5="",$Q5=""),"",1-(1-$T5)^$Q5)</f>
        <v/>
      </c>
      <c r="V5" s="23" t="str">
        <f aca="false">IF($M5&lt;&gt;"",$M5,IF($G5="","",MAX(1,(Setup!$B$6/$G5)^Setup!$B$7)))</f>
        <v/>
      </c>
      <c r="W5" s="22" t="str">
        <f aca="false">IF(COUNT($J5:$L5)&lt;3,"",Setup!$B$10*(6-$J5)+Setup!$B$11*$K5+Setup!$B$12*$L5)</f>
        <v/>
      </c>
      <c r="X5" s="23" t="str">
        <f aca="false">IF($W5="","",IF(LEFT(Setup!$B$15,1)="B",EXP(Setup!$B$14*($W5-1)),1+Setup!$B$14*($W5-1)))</f>
        <v/>
      </c>
      <c r="Y5" s="23" t="str">
        <f aca="false">IF($N5&lt;&gt;"",$N5,$X5)</f>
        <v/>
      </c>
      <c r="Z5" s="22" t="str">
        <f aca="false">IF(OR($H5="",$U5="",$V5=""),"",$H5*$U5*$V5)</f>
        <v/>
      </c>
      <c r="AA5" s="22" t="str">
        <f aca="false">IF(OR($Z5="",$Y5=""),"",$Z5*$Y5)</f>
        <v/>
      </c>
      <c r="AB5" s="1" t="str">
        <f aca="false">IF($A5="","",IF(OR($E5="",$G5="",$H5="",$I5="",AND($N5="",COUNT($J5:$L5)&lt;3)),"Missing: "&amp;IF($E5="","P ","")&amp;IF($G5="","T ","")&amp;IF($H5="","I ","")&amp;IF($I5="","C ","")&amp;IF(AND($N5="",COUNT($J5:$L5)&lt;3),"C_ctrl/C_ext/C_irr",""),IF(N($F5)&gt;$E5,"P_floor &gt; P (floor capped at P)","OK")))</f>
        <v/>
      </c>
      <c r="AC5" s="1" t="str">
        <f aca="false">IF($AA5="","",$AA5+ROW()/1000000)</f>
        <v/>
      </c>
      <c r="AD5" s="18" t="n">
        <f aca="false">IF(AND($A5&lt;&gt;"",ISNUMBER($AA5)),1,0)</f>
        <v>0</v>
      </c>
      <c r="AE5" s="18" t="n">
        <f aca="false">IF($AD5=1,$H5,0)</f>
        <v>0</v>
      </c>
      <c r="AF5" s="18" t="n">
        <f aca="false">IF($AD5=1,$E5,0)</f>
        <v>0</v>
      </c>
      <c r="AG5" s="18" t="n">
        <f aca="false">IF($AD5=1,MIN(N($F5),$E5),0)</f>
        <v>0</v>
      </c>
      <c r="AH5" s="18" t="n">
        <f aca="false">IF($AD5=1,$I5,0)</f>
        <v>0</v>
      </c>
      <c r="AI5" s="18" t="n">
        <f aca="false">IF($AD5=1,$G5,1)</f>
        <v>1</v>
      </c>
      <c r="AJ5" s="18" t="n">
        <f aca="false">IF($AD5=1,$V5,1)</f>
        <v>1</v>
      </c>
      <c r="AK5" s="18" t="n">
        <f aca="false">IF($AD5=1,$Y5,1)</f>
        <v>1</v>
      </c>
    </row>
    <row r="6" customFormat="false" ht="15" hidden="false" customHeight="false" outlineLevel="0" collapsed="false">
      <c r="A6" s="10"/>
      <c r="B6" s="10"/>
      <c r="C6" s="12"/>
      <c r="D6" s="17"/>
      <c r="E6" s="13"/>
      <c r="F6" s="21"/>
      <c r="G6" s="12"/>
      <c r="H6" s="12"/>
      <c r="I6" s="12"/>
      <c r="J6" s="12"/>
      <c r="K6" s="12"/>
      <c r="L6" s="12"/>
      <c r="M6" s="15"/>
      <c r="N6" s="15"/>
      <c r="O6" s="12"/>
      <c r="P6" s="17"/>
      <c r="Q6" s="22" t="str">
        <f aca="false">IF(OR($G6="",Setup!$B$5=""),"",Setup!$B$5/$G6)</f>
        <v/>
      </c>
      <c r="R6" s="23" t="str">
        <f aca="false">IF(OR($E6="",$Q6=""),"",1-(1-$E6)^$Q6)</f>
        <v/>
      </c>
      <c r="S6" s="22" t="str">
        <f aca="false">IF(OR($R6="",$H6=""),"",$H6*$R6)</f>
        <v/>
      </c>
      <c r="T6" s="23" t="str">
        <f aca="false">IF(OR($E6="",$I6=""),"",MIN(1,MIN(N($F6),$E6)+($E6-MIN(N($F6),$E6))*(1-$I6)))</f>
        <v/>
      </c>
      <c r="U6" s="23" t="str">
        <f aca="false">IF(OR($T6="",$Q6=""),"",1-(1-$T6)^$Q6)</f>
        <v/>
      </c>
      <c r="V6" s="23" t="str">
        <f aca="false">IF($M6&lt;&gt;"",$M6,IF($G6="","",MAX(1,(Setup!$B$6/$G6)^Setup!$B$7)))</f>
        <v/>
      </c>
      <c r="W6" s="22" t="str">
        <f aca="false">IF(COUNT($J6:$L6)&lt;3,"",Setup!$B$10*(6-$J6)+Setup!$B$11*$K6+Setup!$B$12*$L6)</f>
        <v/>
      </c>
      <c r="X6" s="23" t="str">
        <f aca="false">IF($W6="","",IF(LEFT(Setup!$B$15,1)="B",EXP(Setup!$B$14*($W6-1)),1+Setup!$B$14*($W6-1)))</f>
        <v/>
      </c>
      <c r="Y6" s="23" t="str">
        <f aca="false">IF($N6&lt;&gt;"",$N6,$X6)</f>
        <v/>
      </c>
      <c r="Z6" s="22" t="str">
        <f aca="false">IF(OR($H6="",$U6="",$V6=""),"",$H6*$U6*$V6)</f>
        <v/>
      </c>
      <c r="AA6" s="22" t="str">
        <f aca="false">IF(OR($Z6="",$Y6=""),"",$Z6*$Y6)</f>
        <v/>
      </c>
      <c r="AB6" s="1" t="str">
        <f aca="false">IF($A6="","",IF(OR($E6="",$G6="",$H6="",$I6="",AND($N6="",COUNT($J6:$L6)&lt;3)),"Missing: "&amp;IF($E6="","P ","")&amp;IF($G6="","T ","")&amp;IF($H6="","I ","")&amp;IF($I6="","C ","")&amp;IF(AND($N6="",COUNT($J6:$L6)&lt;3),"C_ctrl/C_ext/C_irr",""),IF(N($F6)&gt;$E6,"P_floor &gt; P (floor capped at P)","OK")))</f>
        <v/>
      </c>
      <c r="AC6" s="1" t="str">
        <f aca="false">IF($AA6="","",$AA6+ROW()/1000000)</f>
        <v/>
      </c>
      <c r="AD6" s="18" t="n">
        <f aca="false">IF(AND($A6&lt;&gt;"",ISNUMBER($AA6)),1,0)</f>
        <v>0</v>
      </c>
      <c r="AE6" s="18" t="n">
        <f aca="false">IF($AD6=1,$H6,0)</f>
        <v>0</v>
      </c>
      <c r="AF6" s="18" t="n">
        <f aca="false">IF($AD6=1,$E6,0)</f>
        <v>0</v>
      </c>
      <c r="AG6" s="18" t="n">
        <f aca="false">IF($AD6=1,MIN(N($F6),$E6),0)</f>
        <v>0</v>
      </c>
      <c r="AH6" s="18" t="n">
        <f aca="false">IF($AD6=1,$I6,0)</f>
        <v>0</v>
      </c>
      <c r="AI6" s="18" t="n">
        <f aca="false">IF($AD6=1,$G6,1)</f>
        <v>1</v>
      </c>
      <c r="AJ6" s="18" t="n">
        <f aca="false">IF($AD6=1,$V6,1)</f>
        <v>1</v>
      </c>
      <c r="AK6" s="18" t="n">
        <f aca="false">IF($AD6=1,$Y6,1)</f>
        <v>1</v>
      </c>
    </row>
    <row r="7" customFormat="false" ht="15" hidden="false" customHeight="false" outlineLevel="0" collapsed="false">
      <c r="A7" s="10"/>
      <c r="B7" s="10"/>
      <c r="C7" s="12"/>
      <c r="D7" s="17"/>
      <c r="E7" s="13"/>
      <c r="F7" s="21"/>
      <c r="G7" s="12"/>
      <c r="H7" s="12"/>
      <c r="I7" s="12"/>
      <c r="J7" s="12"/>
      <c r="K7" s="12"/>
      <c r="L7" s="12"/>
      <c r="M7" s="15"/>
      <c r="N7" s="15"/>
      <c r="O7" s="12"/>
      <c r="P7" s="17"/>
      <c r="Q7" s="22" t="str">
        <f aca="false">IF(OR($G7="",Setup!$B$5=""),"",Setup!$B$5/$G7)</f>
        <v/>
      </c>
      <c r="R7" s="23" t="str">
        <f aca="false">IF(OR($E7="",$Q7=""),"",1-(1-$E7)^$Q7)</f>
        <v/>
      </c>
      <c r="S7" s="22" t="str">
        <f aca="false">IF(OR($R7="",$H7=""),"",$H7*$R7)</f>
        <v/>
      </c>
      <c r="T7" s="23" t="str">
        <f aca="false">IF(OR($E7="",$I7=""),"",MIN(1,MIN(N($F7),$E7)+($E7-MIN(N($F7),$E7))*(1-$I7)))</f>
        <v/>
      </c>
      <c r="U7" s="23" t="str">
        <f aca="false">IF(OR($T7="",$Q7=""),"",1-(1-$T7)^$Q7)</f>
        <v/>
      </c>
      <c r="V7" s="23" t="str">
        <f aca="false">IF($M7&lt;&gt;"",$M7,IF($G7="","",MAX(1,(Setup!$B$6/$G7)^Setup!$B$7)))</f>
        <v/>
      </c>
      <c r="W7" s="22" t="str">
        <f aca="false">IF(COUNT($J7:$L7)&lt;3,"",Setup!$B$10*(6-$J7)+Setup!$B$11*$K7+Setup!$B$12*$L7)</f>
        <v/>
      </c>
      <c r="X7" s="23" t="str">
        <f aca="false">IF($W7="","",IF(LEFT(Setup!$B$15,1)="B",EXP(Setup!$B$14*($W7-1)),1+Setup!$B$14*($W7-1)))</f>
        <v/>
      </c>
      <c r="Y7" s="23" t="str">
        <f aca="false">IF($N7&lt;&gt;"",$N7,$X7)</f>
        <v/>
      </c>
      <c r="Z7" s="22" t="str">
        <f aca="false">IF(OR($H7="",$U7="",$V7=""),"",$H7*$U7*$V7)</f>
        <v/>
      </c>
      <c r="AA7" s="22" t="str">
        <f aca="false">IF(OR($Z7="",$Y7=""),"",$Z7*$Y7)</f>
        <v/>
      </c>
      <c r="AB7" s="1" t="str">
        <f aca="false">IF($A7="","",IF(OR($E7="",$G7="",$H7="",$I7="",AND($N7="",COUNT($J7:$L7)&lt;3)),"Missing: "&amp;IF($E7="","P ","")&amp;IF($G7="","T ","")&amp;IF($H7="","I ","")&amp;IF($I7="","C ","")&amp;IF(AND($N7="",COUNT($J7:$L7)&lt;3),"C_ctrl/C_ext/C_irr",""),IF(N($F7)&gt;$E7,"P_floor &gt; P (floor capped at P)","OK")))</f>
        <v/>
      </c>
      <c r="AC7" s="1" t="str">
        <f aca="false">IF($AA7="","",$AA7+ROW()/1000000)</f>
        <v/>
      </c>
      <c r="AD7" s="18" t="n">
        <f aca="false">IF(AND($A7&lt;&gt;"",ISNUMBER($AA7)),1,0)</f>
        <v>0</v>
      </c>
      <c r="AE7" s="18" t="n">
        <f aca="false">IF($AD7=1,$H7,0)</f>
        <v>0</v>
      </c>
      <c r="AF7" s="18" t="n">
        <f aca="false">IF($AD7=1,$E7,0)</f>
        <v>0</v>
      </c>
      <c r="AG7" s="18" t="n">
        <f aca="false">IF($AD7=1,MIN(N($F7),$E7),0)</f>
        <v>0</v>
      </c>
      <c r="AH7" s="18" t="n">
        <f aca="false">IF($AD7=1,$I7,0)</f>
        <v>0</v>
      </c>
      <c r="AI7" s="18" t="n">
        <f aca="false">IF($AD7=1,$G7,1)</f>
        <v>1</v>
      </c>
      <c r="AJ7" s="18" t="n">
        <f aca="false">IF($AD7=1,$V7,1)</f>
        <v>1</v>
      </c>
      <c r="AK7" s="18" t="n">
        <f aca="false">IF($AD7=1,$Y7,1)</f>
        <v>1</v>
      </c>
    </row>
    <row r="8" customFormat="false" ht="15" hidden="false" customHeight="false" outlineLevel="0" collapsed="false">
      <c r="A8" s="10"/>
      <c r="B8" s="10"/>
      <c r="C8" s="12"/>
      <c r="D8" s="17"/>
      <c r="E8" s="13"/>
      <c r="F8" s="21"/>
      <c r="G8" s="12"/>
      <c r="H8" s="12"/>
      <c r="I8" s="12"/>
      <c r="J8" s="12"/>
      <c r="K8" s="12"/>
      <c r="L8" s="12"/>
      <c r="M8" s="15"/>
      <c r="N8" s="15"/>
      <c r="O8" s="12"/>
      <c r="P8" s="17"/>
      <c r="Q8" s="22" t="str">
        <f aca="false">IF(OR($G8="",Setup!$B$5=""),"",Setup!$B$5/$G8)</f>
        <v/>
      </c>
      <c r="R8" s="23" t="str">
        <f aca="false">IF(OR($E8="",$Q8=""),"",1-(1-$E8)^$Q8)</f>
        <v/>
      </c>
      <c r="S8" s="22" t="str">
        <f aca="false">IF(OR($R8="",$H8=""),"",$H8*$R8)</f>
        <v/>
      </c>
      <c r="T8" s="23" t="str">
        <f aca="false">IF(OR($E8="",$I8=""),"",MIN(1,MIN(N($F8),$E8)+($E8-MIN(N($F8),$E8))*(1-$I8)))</f>
        <v/>
      </c>
      <c r="U8" s="23" t="str">
        <f aca="false">IF(OR($T8="",$Q8=""),"",1-(1-$T8)^$Q8)</f>
        <v/>
      </c>
      <c r="V8" s="23" t="str">
        <f aca="false">IF($M8&lt;&gt;"",$M8,IF($G8="","",MAX(1,(Setup!$B$6/$G8)^Setup!$B$7)))</f>
        <v/>
      </c>
      <c r="W8" s="22" t="str">
        <f aca="false">IF(COUNT($J8:$L8)&lt;3,"",Setup!$B$10*(6-$J8)+Setup!$B$11*$K8+Setup!$B$12*$L8)</f>
        <v/>
      </c>
      <c r="X8" s="23" t="str">
        <f aca="false">IF($W8="","",IF(LEFT(Setup!$B$15,1)="B",EXP(Setup!$B$14*($W8-1)),1+Setup!$B$14*($W8-1)))</f>
        <v/>
      </c>
      <c r="Y8" s="23" t="str">
        <f aca="false">IF($N8&lt;&gt;"",$N8,$X8)</f>
        <v/>
      </c>
      <c r="Z8" s="22" t="str">
        <f aca="false">IF(OR($H8="",$U8="",$V8=""),"",$H8*$U8*$V8)</f>
        <v/>
      </c>
      <c r="AA8" s="22" t="str">
        <f aca="false">IF(OR($Z8="",$Y8=""),"",$Z8*$Y8)</f>
        <v/>
      </c>
      <c r="AB8" s="1" t="str">
        <f aca="false">IF($A8="","",IF(OR($E8="",$G8="",$H8="",$I8="",AND($N8="",COUNT($J8:$L8)&lt;3)),"Missing: "&amp;IF($E8="","P ","")&amp;IF($G8="","T ","")&amp;IF($H8="","I ","")&amp;IF($I8="","C ","")&amp;IF(AND($N8="",COUNT($J8:$L8)&lt;3),"C_ctrl/C_ext/C_irr",""),IF(N($F8)&gt;$E8,"P_floor &gt; P (floor capped at P)","OK")))</f>
        <v/>
      </c>
      <c r="AC8" s="1" t="str">
        <f aca="false">IF($AA8="","",$AA8+ROW()/1000000)</f>
        <v/>
      </c>
      <c r="AD8" s="18" t="n">
        <f aca="false">IF(AND($A8&lt;&gt;"",ISNUMBER($AA8)),1,0)</f>
        <v>0</v>
      </c>
      <c r="AE8" s="18" t="n">
        <f aca="false">IF($AD8=1,$H8,0)</f>
        <v>0</v>
      </c>
      <c r="AF8" s="18" t="n">
        <f aca="false">IF($AD8=1,$E8,0)</f>
        <v>0</v>
      </c>
      <c r="AG8" s="18" t="n">
        <f aca="false">IF($AD8=1,MIN(N($F8),$E8),0)</f>
        <v>0</v>
      </c>
      <c r="AH8" s="18" t="n">
        <f aca="false">IF($AD8=1,$I8,0)</f>
        <v>0</v>
      </c>
      <c r="AI8" s="18" t="n">
        <f aca="false">IF($AD8=1,$G8,1)</f>
        <v>1</v>
      </c>
      <c r="AJ8" s="18" t="n">
        <f aca="false">IF($AD8=1,$V8,1)</f>
        <v>1</v>
      </c>
      <c r="AK8" s="18" t="n">
        <f aca="false">IF($AD8=1,$Y8,1)</f>
        <v>1</v>
      </c>
    </row>
    <row r="9" customFormat="false" ht="15" hidden="false" customHeight="false" outlineLevel="0" collapsed="false">
      <c r="A9" s="10"/>
      <c r="B9" s="10"/>
      <c r="C9" s="12"/>
      <c r="D9" s="17"/>
      <c r="E9" s="13"/>
      <c r="F9" s="21"/>
      <c r="G9" s="12"/>
      <c r="H9" s="12"/>
      <c r="I9" s="12"/>
      <c r="J9" s="12"/>
      <c r="K9" s="12"/>
      <c r="L9" s="12"/>
      <c r="M9" s="15"/>
      <c r="N9" s="15"/>
      <c r="O9" s="12"/>
      <c r="P9" s="17"/>
      <c r="Q9" s="22" t="str">
        <f aca="false">IF(OR($G9="",Setup!$B$5=""),"",Setup!$B$5/$G9)</f>
        <v/>
      </c>
      <c r="R9" s="23" t="str">
        <f aca="false">IF(OR($E9="",$Q9=""),"",1-(1-$E9)^$Q9)</f>
        <v/>
      </c>
      <c r="S9" s="22" t="str">
        <f aca="false">IF(OR($R9="",$H9=""),"",$H9*$R9)</f>
        <v/>
      </c>
      <c r="T9" s="23" t="str">
        <f aca="false">IF(OR($E9="",$I9=""),"",MIN(1,MIN(N($F9),$E9)+($E9-MIN(N($F9),$E9))*(1-$I9)))</f>
        <v/>
      </c>
      <c r="U9" s="23" t="str">
        <f aca="false">IF(OR($T9="",$Q9=""),"",1-(1-$T9)^$Q9)</f>
        <v/>
      </c>
      <c r="V9" s="23" t="str">
        <f aca="false">IF($M9&lt;&gt;"",$M9,IF($G9="","",MAX(1,(Setup!$B$6/$G9)^Setup!$B$7)))</f>
        <v/>
      </c>
      <c r="W9" s="22" t="str">
        <f aca="false">IF(COUNT($J9:$L9)&lt;3,"",Setup!$B$10*(6-$J9)+Setup!$B$11*$K9+Setup!$B$12*$L9)</f>
        <v/>
      </c>
      <c r="X9" s="23" t="str">
        <f aca="false">IF($W9="","",IF(LEFT(Setup!$B$15,1)="B",EXP(Setup!$B$14*($W9-1)),1+Setup!$B$14*($W9-1)))</f>
        <v/>
      </c>
      <c r="Y9" s="23" t="str">
        <f aca="false">IF($N9&lt;&gt;"",$N9,$X9)</f>
        <v/>
      </c>
      <c r="Z9" s="22" t="str">
        <f aca="false">IF(OR($H9="",$U9="",$V9=""),"",$H9*$U9*$V9)</f>
        <v/>
      </c>
      <c r="AA9" s="22" t="str">
        <f aca="false">IF(OR($Z9="",$Y9=""),"",$Z9*$Y9)</f>
        <v/>
      </c>
      <c r="AB9" s="1" t="str">
        <f aca="false">IF($A9="","",IF(OR($E9="",$G9="",$H9="",$I9="",AND($N9="",COUNT($J9:$L9)&lt;3)),"Missing: "&amp;IF($E9="","P ","")&amp;IF($G9="","T ","")&amp;IF($H9="","I ","")&amp;IF($I9="","C ","")&amp;IF(AND($N9="",COUNT($J9:$L9)&lt;3),"C_ctrl/C_ext/C_irr",""),IF(N($F9)&gt;$E9,"P_floor &gt; P (floor capped at P)","OK")))</f>
        <v/>
      </c>
      <c r="AC9" s="1" t="str">
        <f aca="false">IF($AA9="","",$AA9+ROW()/1000000)</f>
        <v/>
      </c>
      <c r="AD9" s="18" t="n">
        <f aca="false">IF(AND($A9&lt;&gt;"",ISNUMBER($AA9)),1,0)</f>
        <v>0</v>
      </c>
      <c r="AE9" s="18" t="n">
        <f aca="false">IF($AD9=1,$H9,0)</f>
        <v>0</v>
      </c>
      <c r="AF9" s="18" t="n">
        <f aca="false">IF($AD9=1,$E9,0)</f>
        <v>0</v>
      </c>
      <c r="AG9" s="18" t="n">
        <f aca="false">IF($AD9=1,MIN(N($F9),$E9),0)</f>
        <v>0</v>
      </c>
      <c r="AH9" s="18" t="n">
        <f aca="false">IF($AD9=1,$I9,0)</f>
        <v>0</v>
      </c>
      <c r="AI9" s="18" t="n">
        <f aca="false">IF($AD9=1,$G9,1)</f>
        <v>1</v>
      </c>
      <c r="AJ9" s="18" t="n">
        <f aca="false">IF($AD9=1,$V9,1)</f>
        <v>1</v>
      </c>
      <c r="AK9" s="18" t="n">
        <f aca="false">IF($AD9=1,$Y9,1)</f>
        <v>1</v>
      </c>
    </row>
    <row r="10" customFormat="false" ht="15" hidden="false" customHeight="false" outlineLevel="0" collapsed="false">
      <c r="A10" s="10"/>
      <c r="B10" s="10"/>
      <c r="C10" s="12"/>
      <c r="D10" s="17"/>
      <c r="E10" s="13"/>
      <c r="F10" s="21"/>
      <c r="G10" s="12"/>
      <c r="H10" s="12"/>
      <c r="I10" s="12"/>
      <c r="J10" s="12"/>
      <c r="K10" s="12"/>
      <c r="L10" s="12"/>
      <c r="M10" s="15"/>
      <c r="N10" s="15"/>
      <c r="O10" s="12"/>
      <c r="P10" s="17"/>
      <c r="Q10" s="22" t="str">
        <f aca="false">IF(OR($G10="",Setup!$B$5=""),"",Setup!$B$5/$G10)</f>
        <v/>
      </c>
      <c r="R10" s="23" t="str">
        <f aca="false">IF(OR($E10="",$Q10=""),"",1-(1-$E10)^$Q10)</f>
        <v/>
      </c>
      <c r="S10" s="22" t="str">
        <f aca="false">IF(OR($R10="",$H10=""),"",$H10*$R10)</f>
        <v/>
      </c>
      <c r="T10" s="23" t="str">
        <f aca="false">IF(OR($E10="",$I10=""),"",MIN(1,MIN(N($F10),$E10)+($E10-MIN(N($F10),$E10))*(1-$I10)))</f>
        <v/>
      </c>
      <c r="U10" s="23" t="str">
        <f aca="false">IF(OR($T10="",$Q10=""),"",1-(1-$T10)^$Q10)</f>
        <v/>
      </c>
      <c r="V10" s="23" t="str">
        <f aca="false">IF($M10&lt;&gt;"",$M10,IF($G10="","",MAX(1,(Setup!$B$6/$G10)^Setup!$B$7)))</f>
        <v/>
      </c>
      <c r="W10" s="22" t="str">
        <f aca="false">IF(COUNT($J10:$L10)&lt;3,"",Setup!$B$10*(6-$J10)+Setup!$B$11*$K10+Setup!$B$12*$L10)</f>
        <v/>
      </c>
      <c r="X10" s="23" t="str">
        <f aca="false">IF($W10="","",IF(LEFT(Setup!$B$15,1)="B",EXP(Setup!$B$14*($W10-1)),1+Setup!$B$14*($W10-1)))</f>
        <v/>
      </c>
      <c r="Y10" s="23" t="str">
        <f aca="false">IF($N10&lt;&gt;"",$N10,$X10)</f>
        <v/>
      </c>
      <c r="Z10" s="22" t="str">
        <f aca="false">IF(OR($H10="",$U10="",$V10=""),"",$H10*$U10*$V10)</f>
        <v/>
      </c>
      <c r="AA10" s="22" t="str">
        <f aca="false">IF(OR($Z10="",$Y10=""),"",$Z10*$Y10)</f>
        <v/>
      </c>
      <c r="AB10" s="1" t="str">
        <f aca="false">IF($A10="","",IF(OR($E10="",$G10="",$H10="",$I10="",AND($N10="",COUNT($J10:$L10)&lt;3)),"Missing: "&amp;IF($E10="","P ","")&amp;IF($G10="","T ","")&amp;IF($H10="","I ","")&amp;IF($I10="","C ","")&amp;IF(AND($N10="",COUNT($J10:$L10)&lt;3),"C_ctrl/C_ext/C_irr",""),IF(N($F10)&gt;$E10,"P_floor &gt; P (floor capped at P)","OK")))</f>
        <v/>
      </c>
      <c r="AC10" s="1" t="str">
        <f aca="false">IF($AA10="","",$AA10+ROW()/1000000)</f>
        <v/>
      </c>
      <c r="AD10" s="18" t="n">
        <f aca="false">IF(AND($A10&lt;&gt;"",ISNUMBER($AA10)),1,0)</f>
        <v>0</v>
      </c>
      <c r="AE10" s="18" t="n">
        <f aca="false">IF($AD10=1,$H10,0)</f>
        <v>0</v>
      </c>
      <c r="AF10" s="18" t="n">
        <f aca="false">IF($AD10=1,$E10,0)</f>
        <v>0</v>
      </c>
      <c r="AG10" s="18" t="n">
        <f aca="false">IF($AD10=1,MIN(N($F10),$E10),0)</f>
        <v>0</v>
      </c>
      <c r="AH10" s="18" t="n">
        <f aca="false">IF($AD10=1,$I10,0)</f>
        <v>0</v>
      </c>
      <c r="AI10" s="18" t="n">
        <f aca="false">IF($AD10=1,$G10,1)</f>
        <v>1</v>
      </c>
      <c r="AJ10" s="18" t="n">
        <f aca="false">IF($AD10=1,$V10,1)</f>
        <v>1</v>
      </c>
      <c r="AK10" s="18" t="n">
        <f aca="false">IF($AD10=1,$Y10,1)</f>
        <v>1</v>
      </c>
    </row>
    <row r="11" customFormat="false" ht="15" hidden="false" customHeight="false" outlineLevel="0" collapsed="false">
      <c r="A11" s="10"/>
      <c r="B11" s="10"/>
      <c r="C11" s="12"/>
      <c r="D11" s="17"/>
      <c r="E11" s="13"/>
      <c r="F11" s="21"/>
      <c r="G11" s="12"/>
      <c r="H11" s="12"/>
      <c r="I11" s="12"/>
      <c r="J11" s="12"/>
      <c r="K11" s="12"/>
      <c r="L11" s="12"/>
      <c r="M11" s="15"/>
      <c r="N11" s="15"/>
      <c r="O11" s="12"/>
      <c r="P11" s="17"/>
      <c r="Q11" s="22" t="str">
        <f aca="false">IF(OR($G11="",Setup!$B$5=""),"",Setup!$B$5/$G11)</f>
        <v/>
      </c>
      <c r="R11" s="23" t="str">
        <f aca="false">IF(OR($E11="",$Q11=""),"",1-(1-$E11)^$Q11)</f>
        <v/>
      </c>
      <c r="S11" s="22" t="str">
        <f aca="false">IF(OR($R11="",$H11=""),"",$H11*$R11)</f>
        <v/>
      </c>
      <c r="T11" s="23" t="str">
        <f aca="false">IF(OR($E11="",$I11=""),"",MIN(1,MIN(N($F11),$E11)+($E11-MIN(N($F11),$E11))*(1-$I11)))</f>
        <v/>
      </c>
      <c r="U11" s="23" t="str">
        <f aca="false">IF(OR($T11="",$Q11=""),"",1-(1-$T11)^$Q11)</f>
        <v/>
      </c>
      <c r="V11" s="23" t="str">
        <f aca="false">IF($M11&lt;&gt;"",$M11,IF($G11="","",MAX(1,(Setup!$B$6/$G11)^Setup!$B$7)))</f>
        <v/>
      </c>
      <c r="W11" s="22" t="str">
        <f aca="false">IF(COUNT($J11:$L11)&lt;3,"",Setup!$B$10*(6-$J11)+Setup!$B$11*$K11+Setup!$B$12*$L11)</f>
        <v/>
      </c>
      <c r="X11" s="23" t="str">
        <f aca="false">IF($W11="","",IF(LEFT(Setup!$B$15,1)="B",EXP(Setup!$B$14*($W11-1)),1+Setup!$B$14*($W11-1)))</f>
        <v/>
      </c>
      <c r="Y11" s="23" t="str">
        <f aca="false">IF($N11&lt;&gt;"",$N11,$X11)</f>
        <v/>
      </c>
      <c r="Z11" s="22" t="str">
        <f aca="false">IF(OR($H11="",$U11="",$V11=""),"",$H11*$U11*$V11)</f>
        <v/>
      </c>
      <c r="AA11" s="22" t="str">
        <f aca="false">IF(OR($Z11="",$Y11=""),"",$Z11*$Y11)</f>
        <v/>
      </c>
      <c r="AB11" s="1" t="str">
        <f aca="false">IF($A11="","",IF(OR($E11="",$G11="",$H11="",$I11="",AND($N11="",COUNT($J11:$L11)&lt;3)),"Missing: "&amp;IF($E11="","P ","")&amp;IF($G11="","T ","")&amp;IF($H11="","I ","")&amp;IF($I11="","C ","")&amp;IF(AND($N11="",COUNT($J11:$L11)&lt;3),"C_ctrl/C_ext/C_irr",""),IF(N($F11)&gt;$E11,"P_floor &gt; P (floor capped at P)","OK")))</f>
        <v/>
      </c>
      <c r="AC11" s="1" t="str">
        <f aca="false">IF($AA11="","",$AA11+ROW()/1000000)</f>
        <v/>
      </c>
      <c r="AD11" s="18" t="n">
        <f aca="false">IF(AND($A11&lt;&gt;"",ISNUMBER($AA11)),1,0)</f>
        <v>0</v>
      </c>
      <c r="AE11" s="18" t="n">
        <f aca="false">IF($AD11=1,$H11,0)</f>
        <v>0</v>
      </c>
      <c r="AF11" s="18" t="n">
        <f aca="false">IF($AD11=1,$E11,0)</f>
        <v>0</v>
      </c>
      <c r="AG11" s="18" t="n">
        <f aca="false">IF($AD11=1,MIN(N($F11),$E11),0)</f>
        <v>0</v>
      </c>
      <c r="AH11" s="18" t="n">
        <f aca="false">IF($AD11=1,$I11,0)</f>
        <v>0</v>
      </c>
      <c r="AI11" s="18" t="n">
        <f aca="false">IF($AD11=1,$G11,1)</f>
        <v>1</v>
      </c>
      <c r="AJ11" s="18" t="n">
        <f aca="false">IF($AD11=1,$V11,1)</f>
        <v>1</v>
      </c>
      <c r="AK11" s="18" t="n">
        <f aca="false">IF($AD11=1,$Y11,1)</f>
        <v>1</v>
      </c>
    </row>
    <row r="12" customFormat="false" ht="15" hidden="false" customHeight="false" outlineLevel="0" collapsed="false">
      <c r="A12" s="10"/>
      <c r="B12" s="10"/>
      <c r="C12" s="12"/>
      <c r="D12" s="17"/>
      <c r="E12" s="13"/>
      <c r="F12" s="21"/>
      <c r="G12" s="12"/>
      <c r="H12" s="12"/>
      <c r="I12" s="12"/>
      <c r="J12" s="12"/>
      <c r="K12" s="12"/>
      <c r="L12" s="12"/>
      <c r="M12" s="15"/>
      <c r="N12" s="15"/>
      <c r="O12" s="12"/>
      <c r="P12" s="17"/>
      <c r="Q12" s="22" t="str">
        <f aca="false">IF(OR($G12="",Setup!$B$5=""),"",Setup!$B$5/$G12)</f>
        <v/>
      </c>
      <c r="R12" s="23" t="str">
        <f aca="false">IF(OR($E12="",$Q12=""),"",1-(1-$E12)^$Q12)</f>
        <v/>
      </c>
      <c r="S12" s="22" t="str">
        <f aca="false">IF(OR($R12="",$H12=""),"",$H12*$R12)</f>
        <v/>
      </c>
      <c r="T12" s="23" t="str">
        <f aca="false">IF(OR($E12="",$I12=""),"",MIN(1,MIN(N($F12),$E12)+($E12-MIN(N($F12),$E12))*(1-$I12)))</f>
        <v/>
      </c>
      <c r="U12" s="23" t="str">
        <f aca="false">IF(OR($T12="",$Q12=""),"",1-(1-$T12)^$Q12)</f>
        <v/>
      </c>
      <c r="V12" s="23" t="str">
        <f aca="false">IF($M12&lt;&gt;"",$M12,IF($G12="","",MAX(1,(Setup!$B$6/$G12)^Setup!$B$7)))</f>
        <v/>
      </c>
      <c r="W12" s="22" t="str">
        <f aca="false">IF(COUNT($J12:$L12)&lt;3,"",Setup!$B$10*(6-$J12)+Setup!$B$11*$K12+Setup!$B$12*$L12)</f>
        <v/>
      </c>
      <c r="X12" s="23" t="str">
        <f aca="false">IF($W12="","",IF(LEFT(Setup!$B$15,1)="B",EXP(Setup!$B$14*($W12-1)),1+Setup!$B$14*($W12-1)))</f>
        <v/>
      </c>
      <c r="Y12" s="23" t="str">
        <f aca="false">IF($N12&lt;&gt;"",$N12,$X12)</f>
        <v/>
      </c>
      <c r="Z12" s="22" t="str">
        <f aca="false">IF(OR($H12="",$U12="",$V12=""),"",$H12*$U12*$V12)</f>
        <v/>
      </c>
      <c r="AA12" s="22" t="str">
        <f aca="false">IF(OR($Z12="",$Y12=""),"",$Z12*$Y12)</f>
        <v/>
      </c>
      <c r="AB12" s="1" t="str">
        <f aca="false">IF($A12="","",IF(OR($E12="",$G12="",$H12="",$I12="",AND($N12="",COUNT($J12:$L12)&lt;3)),"Missing: "&amp;IF($E12="","P ","")&amp;IF($G12="","T ","")&amp;IF($H12="","I ","")&amp;IF($I12="","C ","")&amp;IF(AND($N12="",COUNT($J12:$L12)&lt;3),"C_ctrl/C_ext/C_irr",""),IF(N($F12)&gt;$E12,"P_floor &gt; P (floor capped at P)","OK")))</f>
        <v/>
      </c>
      <c r="AC12" s="1" t="str">
        <f aca="false">IF($AA12="","",$AA12+ROW()/1000000)</f>
        <v/>
      </c>
      <c r="AD12" s="18" t="n">
        <f aca="false">IF(AND($A12&lt;&gt;"",ISNUMBER($AA12)),1,0)</f>
        <v>0</v>
      </c>
      <c r="AE12" s="18" t="n">
        <f aca="false">IF($AD12=1,$H12,0)</f>
        <v>0</v>
      </c>
      <c r="AF12" s="18" t="n">
        <f aca="false">IF($AD12=1,$E12,0)</f>
        <v>0</v>
      </c>
      <c r="AG12" s="18" t="n">
        <f aca="false">IF($AD12=1,MIN(N($F12),$E12),0)</f>
        <v>0</v>
      </c>
      <c r="AH12" s="18" t="n">
        <f aca="false">IF($AD12=1,$I12,0)</f>
        <v>0</v>
      </c>
      <c r="AI12" s="18" t="n">
        <f aca="false">IF($AD12=1,$G12,1)</f>
        <v>1</v>
      </c>
      <c r="AJ12" s="18" t="n">
        <f aca="false">IF($AD12=1,$V12,1)</f>
        <v>1</v>
      </c>
      <c r="AK12" s="18" t="n">
        <f aca="false">IF($AD12=1,$Y12,1)</f>
        <v>1</v>
      </c>
    </row>
    <row r="13" customFormat="false" ht="15" hidden="false" customHeight="false" outlineLevel="0" collapsed="false">
      <c r="A13" s="10"/>
      <c r="B13" s="10"/>
      <c r="C13" s="12"/>
      <c r="D13" s="17"/>
      <c r="E13" s="13"/>
      <c r="F13" s="21"/>
      <c r="G13" s="12"/>
      <c r="H13" s="12"/>
      <c r="I13" s="12"/>
      <c r="J13" s="12"/>
      <c r="K13" s="12"/>
      <c r="L13" s="12"/>
      <c r="M13" s="15"/>
      <c r="N13" s="15"/>
      <c r="O13" s="12"/>
      <c r="P13" s="17"/>
      <c r="Q13" s="22" t="str">
        <f aca="false">IF(OR($G13="",Setup!$B$5=""),"",Setup!$B$5/$G13)</f>
        <v/>
      </c>
      <c r="R13" s="23" t="str">
        <f aca="false">IF(OR($E13="",$Q13=""),"",1-(1-$E13)^$Q13)</f>
        <v/>
      </c>
      <c r="S13" s="22" t="str">
        <f aca="false">IF(OR($R13="",$H13=""),"",$H13*$R13)</f>
        <v/>
      </c>
      <c r="T13" s="23" t="str">
        <f aca="false">IF(OR($E13="",$I13=""),"",MIN(1,MIN(N($F13),$E13)+($E13-MIN(N($F13),$E13))*(1-$I13)))</f>
        <v/>
      </c>
      <c r="U13" s="23" t="str">
        <f aca="false">IF(OR($T13="",$Q13=""),"",1-(1-$T13)^$Q13)</f>
        <v/>
      </c>
      <c r="V13" s="23" t="str">
        <f aca="false">IF($M13&lt;&gt;"",$M13,IF($G13="","",MAX(1,(Setup!$B$6/$G13)^Setup!$B$7)))</f>
        <v/>
      </c>
      <c r="W13" s="22" t="str">
        <f aca="false">IF(COUNT($J13:$L13)&lt;3,"",Setup!$B$10*(6-$J13)+Setup!$B$11*$K13+Setup!$B$12*$L13)</f>
        <v/>
      </c>
      <c r="X13" s="23" t="str">
        <f aca="false">IF($W13="","",IF(LEFT(Setup!$B$15,1)="B",EXP(Setup!$B$14*($W13-1)),1+Setup!$B$14*($W13-1)))</f>
        <v/>
      </c>
      <c r="Y13" s="23" t="str">
        <f aca="false">IF($N13&lt;&gt;"",$N13,$X13)</f>
        <v/>
      </c>
      <c r="Z13" s="22" t="str">
        <f aca="false">IF(OR($H13="",$U13="",$V13=""),"",$H13*$U13*$V13)</f>
        <v/>
      </c>
      <c r="AA13" s="22" t="str">
        <f aca="false">IF(OR($Z13="",$Y13=""),"",$Z13*$Y13)</f>
        <v/>
      </c>
      <c r="AB13" s="1" t="str">
        <f aca="false">IF($A13="","",IF(OR($E13="",$G13="",$H13="",$I13="",AND($N13="",COUNT($J13:$L13)&lt;3)),"Missing: "&amp;IF($E13="","P ","")&amp;IF($G13="","T ","")&amp;IF($H13="","I ","")&amp;IF($I13="","C ","")&amp;IF(AND($N13="",COUNT($J13:$L13)&lt;3),"C_ctrl/C_ext/C_irr",""),IF(N($F13)&gt;$E13,"P_floor &gt; P (floor capped at P)","OK")))</f>
        <v/>
      </c>
      <c r="AC13" s="1" t="str">
        <f aca="false">IF($AA13="","",$AA13+ROW()/1000000)</f>
        <v/>
      </c>
      <c r="AD13" s="18" t="n">
        <f aca="false">IF(AND($A13&lt;&gt;"",ISNUMBER($AA13)),1,0)</f>
        <v>0</v>
      </c>
      <c r="AE13" s="18" t="n">
        <f aca="false">IF($AD13=1,$H13,0)</f>
        <v>0</v>
      </c>
      <c r="AF13" s="18" t="n">
        <f aca="false">IF($AD13=1,$E13,0)</f>
        <v>0</v>
      </c>
      <c r="AG13" s="18" t="n">
        <f aca="false">IF($AD13=1,MIN(N($F13),$E13),0)</f>
        <v>0</v>
      </c>
      <c r="AH13" s="18" t="n">
        <f aca="false">IF($AD13=1,$I13,0)</f>
        <v>0</v>
      </c>
      <c r="AI13" s="18" t="n">
        <f aca="false">IF($AD13=1,$G13,1)</f>
        <v>1</v>
      </c>
      <c r="AJ13" s="18" t="n">
        <f aca="false">IF($AD13=1,$V13,1)</f>
        <v>1</v>
      </c>
      <c r="AK13" s="18" t="n">
        <f aca="false">IF($AD13=1,$Y13,1)</f>
        <v>1</v>
      </c>
    </row>
    <row r="14" customFormat="false" ht="15" hidden="false" customHeight="false" outlineLevel="0" collapsed="false">
      <c r="A14" s="10"/>
      <c r="B14" s="10"/>
      <c r="C14" s="12"/>
      <c r="D14" s="17"/>
      <c r="E14" s="13"/>
      <c r="F14" s="21"/>
      <c r="G14" s="12"/>
      <c r="H14" s="12"/>
      <c r="I14" s="12"/>
      <c r="J14" s="12"/>
      <c r="K14" s="12"/>
      <c r="L14" s="12"/>
      <c r="M14" s="15"/>
      <c r="N14" s="15"/>
      <c r="O14" s="12"/>
      <c r="P14" s="17"/>
      <c r="Q14" s="22" t="str">
        <f aca="false">IF(OR($G14="",Setup!$B$5=""),"",Setup!$B$5/$G14)</f>
        <v/>
      </c>
      <c r="R14" s="23" t="str">
        <f aca="false">IF(OR($E14="",$Q14=""),"",1-(1-$E14)^$Q14)</f>
        <v/>
      </c>
      <c r="S14" s="22" t="str">
        <f aca="false">IF(OR($R14="",$H14=""),"",$H14*$R14)</f>
        <v/>
      </c>
      <c r="T14" s="23" t="str">
        <f aca="false">IF(OR($E14="",$I14=""),"",MIN(1,MIN(N($F14),$E14)+($E14-MIN(N($F14),$E14))*(1-$I14)))</f>
        <v/>
      </c>
      <c r="U14" s="23" t="str">
        <f aca="false">IF(OR($T14="",$Q14=""),"",1-(1-$T14)^$Q14)</f>
        <v/>
      </c>
      <c r="V14" s="23" t="str">
        <f aca="false">IF($M14&lt;&gt;"",$M14,IF($G14="","",MAX(1,(Setup!$B$6/$G14)^Setup!$B$7)))</f>
        <v/>
      </c>
      <c r="W14" s="22" t="str">
        <f aca="false">IF(COUNT($J14:$L14)&lt;3,"",Setup!$B$10*(6-$J14)+Setup!$B$11*$K14+Setup!$B$12*$L14)</f>
        <v/>
      </c>
      <c r="X14" s="23" t="str">
        <f aca="false">IF($W14="","",IF(LEFT(Setup!$B$15,1)="B",EXP(Setup!$B$14*($W14-1)),1+Setup!$B$14*($W14-1)))</f>
        <v/>
      </c>
      <c r="Y14" s="23" t="str">
        <f aca="false">IF($N14&lt;&gt;"",$N14,$X14)</f>
        <v/>
      </c>
      <c r="Z14" s="22" t="str">
        <f aca="false">IF(OR($H14="",$U14="",$V14=""),"",$H14*$U14*$V14)</f>
        <v/>
      </c>
      <c r="AA14" s="22" t="str">
        <f aca="false">IF(OR($Z14="",$Y14=""),"",$Z14*$Y14)</f>
        <v/>
      </c>
      <c r="AB14" s="1" t="str">
        <f aca="false">IF($A14="","",IF(OR($E14="",$G14="",$H14="",$I14="",AND($N14="",COUNT($J14:$L14)&lt;3)),"Missing: "&amp;IF($E14="","P ","")&amp;IF($G14="","T ","")&amp;IF($H14="","I ","")&amp;IF($I14="","C ","")&amp;IF(AND($N14="",COUNT($J14:$L14)&lt;3),"C_ctrl/C_ext/C_irr",""),IF(N($F14)&gt;$E14,"P_floor &gt; P (floor capped at P)","OK")))</f>
        <v/>
      </c>
      <c r="AC14" s="1" t="str">
        <f aca="false">IF($AA14="","",$AA14+ROW()/1000000)</f>
        <v/>
      </c>
      <c r="AD14" s="18" t="n">
        <f aca="false">IF(AND($A14&lt;&gt;"",ISNUMBER($AA14)),1,0)</f>
        <v>0</v>
      </c>
      <c r="AE14" s="18" t="n">
        <f aca="false">IF($AD14=1,$H14,0)</f>
        <v>0</v>
      </c>
      <c r="AF14" s="18" t="n">
        <f aca="false">IF($AD14=1,$E14,0)</f>
        <v>0</v>
      </c>
      <c r="AG14" s="18" t="n">
        <f aca="false">IF($AD14=1,MIN(N($F14),$E14),0)</f>
        <v>0</v>
      </c>
      <c r="AH14" s="18" t="n">
        <f aca="false">IF($AD14=1,$I14,0)</f>
        <v>0</v>
      </c>
      <c r="AI14" s="18" t="n">
        <f aca="false">IF($AD14=1,$G14,1)</f>
        <v>1</v>
      </c>
      <c r="AJ14" s="18" t="n">
        <f aca="false">IF($AD14=1,$V14,1)</f>
        <v>1</v>
      </c>
      <c r="AK14" s="18" t="n">
        <f aca="false">IF($AD14=1,$Y14,1)</f>
        <v>1</v>
      </c>
    </row>
    <row r="15" customFormat="false" ht="15" hidden="false" customHeight="false" outlineLevel="0" collapsed="false">
      <c r="A15" s="10"/>
      <c r="B15" s="10"/>
      <c r="C15" s="12"/>
      <c r="D15" s="17"/>
      <c r="E15" s="13"/>
      <c r="F15" s="21"/>
      <c r="G15" s="12"/>
      <c r="H15" s="12"/>
      <c r="I15" s="12"/>
      <c r="J15" s="12"/>
      <c r="K15" s="12"/>
      <c r="L15" s="12"/>
      <c r="M15" s="15"/>
      <c r="N15" s="15"/>
      <c r="O15" s="12"/>
      <c r="P15" s="17"/>
      <c r="Q15" s="22" t="str">
        <f aca="false">IF(OR($G15="",Setup!$B$5=""),"",Setup!$B$5/$G15)</f>
        <v/>
      </c>
      <c r="R15" s="23" t="str">
        <f aca="false">IF(OR($E15="",$Q15=""),"",1-(1-$E15)^$Q15)</f>
        <v/>
      </c>
      <c r="S15" s="22" t="str">
        <f aca="false">IF(OR($R15="",$H15=""),"",$H15*$R15)</f>
        <v/>
      </c>
      <c r="T15" s="23" t="str">
        <f aca="false">IF(OR($E15="",$I15=""),"",MIN(1,MIN(N($F15),$E15)+($E15-MIN(N($F15),$E15))*(1-$I15)))</f>
        <v/>
      </c>
      <c r="U15" s="23" t="str">
        <f aca="false">IF(OR($T15="",$Q15=""),"",1-(1-$T15)^$Q15)</f>
        <v/>
      </c>
      <c r="V15" s="23" t="str">
        <f aca="false">IF($M15&lt;&gt;"",$M15,IF($G15="","",MAX(1,(Setup!$B$6/$G15)^Setup!$B$7)))</f>
        <v/>
      </c>
      <c r="W15" s="22" t="str">
        <f aca="false">IF(COUNT($J15:$L15)&lt;3,"",Setup!$B$10*(6-$J15)+Setup!$B$11*$K15+Setup!$B$12*$L15)</f>
        <v/>
      </c>
      <c r="X15" s="23" t="str">
        <f aca="false">IF($W15="","",IF(LEFT(Setup!$B$15,1)="B",EXP(Setup!$B$14*($W15-1)),1+Setup!$B$14*($W15-1)))</f>
        <v/>
      </c>
      <c r="Y15" s="23" t="str">
        <f aca="false">IF($N15&lt;&gt;"",$N15,$X15)</f>
        <v/>
      </c>
      <c r="Z15" s="22" t="str">
        <f aca="false">IF(OR($H15="",$U15="",$V15=""),"",$H15*$U15*$V15)</f>
        <v/>
      </c>
      <c r="AA15" s="22" t="str">
        <f aca="false">IF(OR($Z15="",$Y15=""),"",$Z15*$Y15)</f>
        <v/>
      </c>
      <c r="AB15" s="1" t="str">
        <f aca="false">IF($A15="","",IF(OR($E15="",$G15="",$H15="",$I15="",AND($N15="",COUNT($J15:$L15)&lt;3)),"Missing: "&amp;IF($E15="","P ","")&amp;IF($G15="","T ","")&amp;IF($H15="","I ","")&amp;IF($I15="","C ","")&amp;IF(AND($N15="",COUNT($J15:$L15)&lt;3),"C_ctrl/C_ext/C_irr",""),IF(N($F15)&gt;$E15,"P_floor &gt; P (floor capped at P)","OK")))</f>
        <v/>
      </c>
      <c r="AC15" s="1" t="str">
        <f aca="false">IF($AA15="","",$AA15+ROW()/1000000)</f>
        <v/>
      </c>
      <c r="AD15" s="18" t="n">
        <f aca="false">IF(AND($A15&lt;&gt;"",ISNUMBER($AA15)),1,0)</f>
        <v>0</v>
      </c>
      <c r="AE15" s="18" t="n">
        <f aca="false">IF($AD15=1,$H15,0)</f>
        <v>0</v>
      </c>
      <c r="AF15" s="18" t="n">
        <f aca="false">IF($AD15=1,$E15,0)</f>
        <v>0</v>
      </c>
      <c r="AG15" s="18" t="n">
        <f aca="false">IF($AD15=1,MIN(N($F15),$E15),0)</f>
        <v>0</v>
      </c>
      <c r="AH15" s="18" t="n">
        <f aca="false">IF($AD15=1,$I15,0)</f>
        <v>0</v>
      </c>
      <c r="AI15" s="18" t="n">
        <f aca="false">IF($AD15=1,$G15,1)</f>
        <v>1</v>
      </c>
      <c r="AJ15" s="18" t="n">
        <f aca="false">IF($AD15=1,$V15,1)</f>
        <v>1</v>
      </c>
      <c r="AK15" s="18" t="n">
        <f aca="false">IF($AD15=1,$Y15,1)</f>
        <v>1</v>
      </c>
    </row>
    <row r="16" customFormat="false" ht="15" hidden="false" customHeight="false" outlineLevel="0" collapsed="false">
      <c r="A16" s="10"/>
      <c r="B16" s="10"/>
      <c r="C16" s="12"/>
      <c r="D16" s="17"/>
      <c r="E16" s="13"/>
      <c r="F16" s="21"/>
      <c r="G16" s="12"/>
      <c r="H16" s="12"/>
      <c r="I16" s="12"/>
      <c r="J16" s="12"/>
      <c r="K16" s="12"/>
      <c r="L16" s="12"/>
      <c r="M16" s="15"/>
      <c r="N16" s="15"/>
      <c r="O16" s="12"/>
      <c r="P16" s="17"/>
      <c r="Q16" s="22" t="str">
        <f aca="false">IF(OR($G16="",Setup!$B$5=""),"",Setup!$B$5/$G16)</f>
        <v/>
      </c>
      <c r="R16" s="23" t="str">
        <f aca="false">IF(OR($E16="",$Q16=""),"",1-(1-$E16)^$Q16)</f>
        <v/>
      </c>
      <c r="S16" s="22" t="str">
        <f aca="false">IF(OR($R16="",$H16=""),"",$H16*$R16)</f>
        <v/>
      </c>
      <c r="T16" s="23" t="str">
        <f aca="false">IF(OR($E16="",$I16=""),"",MIN(1,MIN(N($F16),$E16)+($E16-MIN(N($F16),$E16))*(1-$I16)))</f>
        <v/>
      </c>
      <c r="U16" s="23" t="str">
        <f aca="false">IF(OR($T16="",$Q16=""),"",1-(1-$T16)^$Q16)</f>
        <v/>
      </c>
      <c r="V16" s="23" t="str">
        <f aca="false">IF($M16&lt;&gt;"",$M16,IF($G16="","",MAX(1,(Setup!$B$6/$G16)^Setup!$B$7)))</f>
        <v/>
      </c>
      <c r="W16" s="22" t="str">
        <f aca="false">IF(COUNT($J16:$L16)&lt;3,"",Setup!$B$10*(6-$J16)+Setup!$B$11*$K16+Setup!$B$12*$L16)</f>
        <v/>
      </c>
      <c r="X16" s="23" t="str">
        <f aca="false">IF($W16="","",IF(LEFT(Setup!$B$15,1)="B",EXP(Setup!$B$14*($W16-1)),1+Setup!$B$14*($W16-1)))</f>
        <v/>
      </c>
      <c r="Y16" s="23" t="str">
        <f aca="false">IF($N16&lt;&gt;"",$N16,$X16)</f>
        <v/>
      </c>
      <c r="Z16" s="22" t="str">
        <f aca="false">IF(OR($H16="",$U16="",$V16=""),"",$H16*$U16*$V16)</f>
        <v/>
      </c>
      <c r="AA16" s="22" t="str">
        <f aca="false">IF(OR($Z16="",$Y16=""),"",$Z16*$Y16)</f>
        <v/>
      </c>
      <c r="AB16" s="1" t="str">
        <f aca="false">IF($A16="","",IF(OR($E16="",$G16="",$H16="",$I16="",AND($N16="",COUNT($J16:$L16)&lt;3)),"Missing: "&amp;IF($E16="","P ","")&amp;IF($G16="","T ","")&amp;IF($H16="","I ","")&amp;IF($I16="","C ","")&amp;IF(AND($N16="",COUNT($J16:$L16)&lt;3),"C_ctrl/C_ext/C_irr",""),IF(N($F16)&gt;$E16,"P_floor &gt; P (floor capped at P)","OK")))</f>
        <v/>
      </c>
      <c r="AC16" s="1" t="str">
        <f aca="false">IF($AA16="","",$AA16+ROW()/1000000)</f>
        <v/>
      </c>
      <c r="AD16" s="18" t="n">
        <f aca="false">IF(AND($A16&lt;&gt;"",ISNUMBER($AA16)),1,0)</f>
        <v>0</v>
      </c>
      <c r="AE16" s="18" t="n">
        <f aca="false">IF($AD16=1,$H16,0)</f>
        <v>0</v>
      </c>
      <c r="AF16" s="18" t="n">
        <f aca="false">IF($AD16=1,$E16,0)</f>
        <v>0</v>
      </c>
      <c r="AG16" s="18" t="n">
        <f aca="false">IF($AD16=1,MIN(N($F16),$E16),0)</f>
        <v>0</v>
      </c>
      <c r="AH16" s="18" t="n">
        <f aca="false">IF($AD16=1,$I16,0)</f>
        <v>0</v>
      </c>
      <c r="AI16" s="18" t="n">
        <f aca="false">IF($AD16=1,$G16,1)</f>
        <v>1</v>
      </c>
      <c r="AJ16" s="18" t="n">
        <f aca="false">IF($AD16=1,$V16,1)</f>
        <v>1</v>
      </c>
      <c r="AK16" s="18" t="n">
        <f aca="false">IF($AD16=1,$Y16,1)</f>
        <v>1</v>
      </c>
    </row>
    <row r="17" customFormat="false" ht="15" hidden="false" customHeight="false" outlineLevel="0" collapsed="false">
      <c r="A17" s="10"/>
      <c r="B17" s="10"/>
      <c r="C17" s="12"/>
      <c r="D17" s="17"/>
      <c r="E17" s="13"/>
      <c r="F17" s="21"/>
      <c r="G17" s="12"/>
      <c r="H17" s="12"/>
      <c r="I17" s="12"/>
      <c r="J17" s="12"/>
      <c r="K17" s="12"/>
      <c r="L17" s="12"/>
      <c r="M17" s="15"/>
      <c r="N17" s="15"/>
      <c r="O17" s="12"/>
      <c r="P17" s="17"/>
      <c r="Q17" s="22" t="str">
        <f aca="false">IF(OR($G17="",Setup!$B$5=""),"",Setup!$B$5/$G17)</f>
        <v/>
      </c>
      <c r="R17" s="23" t="str">
        <f aca="false">IF(OR($E17="",$Q17=""),"",1-(1-$E17)^$Q17)</f>
        <v/>
      </c>
      <c r="S17" s="22" t="str">
        <f aca="false">IF(OR($R17="",$H17=""),"",$H17*$R17)</f>
        <v/>
      </c>
      <c r="T17" s="23" t="str">
        <f aca="false">IF(OR($E17="",$I17=""),"",MIN(1,MIN(N($F17),$E17)+($E17-MIN(N($F17),$E17))*(1-$I17)))</f>
        <v/>
      </c>
      <c r="U17" s="23" t="str">
        <f aca="false">IF(OR($T17="",$Q17=""),"",1-(1-$T17)^$Q17)</f>
        <v/>
      </c>
      <c r="V17" s="23" t="str">
        <f aca="false">IF($M17&lt;&gt;"",$M17,IF($G17="","",MAX(1,(Setup!$B$6/$G17)^Setup!$B$7)))</f>
        <v/>
      </c>
      <c r="W17" s="22" t="str">
        <f aca="false">IF(COUNT($J17:$L17)&lt;3,"",Setup!$B$10*(6-$J17)+Setup!$B$11*$K17+Setup!$B$12*$L17)</f>
        <v/>
      </c>
      <c r="X17" s="23" t="str">
        <f aca="false">IF($W17="","",IF(LEFT(Setup!$B$15,1)="B",EXP(Setup!$B$14*($W17-1)),1+Setup!$B$14*($W17-1)))</f>
        <v/>
      </c>
      <c r="Y17" s="23" t="str">
        <f aca="false">IF($N17&lt;&gt;"",$N17,$X17)</f>
        <v/>
      </c>
      <c r="Z17" s="22" t="str">
        <f aca="false">IF(OR($H17="",$U17="",$V17=""),"",$H17*$U17*$V17)</f>
        <v/>
      </c>
      <c r="AA17" s="22" t="str">
        <f aca="false">IF(OR($Z17="",$Y17=""),"",$Z17*$Y17)</f>
        <v/>
      </c>
      <c r="AB17" s="1" t="str">
        <f aca="false">IF($A17="","",IF(OR($E17="",$G17="",$H17="",$I17="",AND($N17="",COUNT($J17:$L17)&lt;3)),"Missing: "&amp;IF($E17="","P ","")&amp;IF($G17="","T ","")&amp;IF($H17="","I ","")&amp;IF($I17="","C ","")&amp;IF(AND($N17="",COUNT($J17:$L17)&lt;3),"C_ctrl/C_ext/C_irr",""),IF(N($F17)&gt;$E17,"P_floor &gt; P (floor capped at P)","OK")))</f>
        <v/>
      </c>
      <c r="AC17" s="1" t="str">
        <f aca="false">IF($AA17="","",$AA17+ROW()/1000000)</f>
        <v/>
      </c>
      <c r="AD17" s="18" t="n">
        <f aca="false">IF(AND($A17&lt;&gt;"",ISNUMBER($AA17)),1,0)</f>
        <v>0</v>
      </c>
      <c r="AE17" s="18" t="n">
        <f aca="false">IF($AD17=1,$H17,0)</f>
        <v>0</v>
      </c>
      <c r="AF17" s="18" t="n">
        <f aca="false">IF($AD17=1,$E17,0)</f>
        <v>0</v>
      </c>
      <c r="AG17" s="18" t="n">
        <f aca="false">IF($AD17=1,MIN(N($F17),$E17),0)</f>
        <v>0</v>
      </c>
      <c r="AH17" s="18" t="n">
        <f aca="false">IF($AD17=1,$I17,0)</f>
        <v>0</v>
      </c>
      <c r="AI17" s="18" t="n">
        <f aca="false">IF($AD17=1,$G17,1)</f>
        <v>1</v>
      </c>
      <c r="AJ17" s="18" t="n">
        <f aca="false">IF($AD17=1,$V17,1)</f>
        <v>1</v>
      </c>
      <c r="AK17" s="18" t="n">
        <f aca="false">IF($AD17=1,$Y17,1)</f>
        <v>1</v>
      </c>
    </row>
    <row r="18" customFormat="false" ht="15" hidden="false" customHeight="false" outlineLevel="0" collapsed="false">
      <c r="A18" s="10"/>
      <c r="B18" s="10"/>
      <c r="C18" s="12"/>
      <c r="D18" s="17"/>
      <c r="E18" s="13"/>
      <c r="F18" s="21"/>
      <c r="G18" s="12"/>
      <c r="H18" s="12"/>
      <c r="I18" s="12"/>
      <c r="J18" s="12"/>
      <c r="K18" s="12"/>
      <c r="L18" s="12"/>
      <c r="M18" s="15"/>
      <c r="N18" s="15"/>
      <c r="O18" s="12"/>
      <c r="P18" s="17"/>
      <c r="Q18" s="22" t="str">
        <f aca="false">IF(OR($G18="",Setup!$B$5=""),"",Setup!$B$5/$G18)</f>
        <v/>
      </c>
      <c r="R18" s="23" t="str">
        <f aca="false">IF(OR($E18="",$Q18=""),"",1-(1-$E18)^$Q18)</f>
        <v/>
      </c>
      <c r="S18" s="22" t="str">
        <f aca="false">IF(OR($R18="",$H18=""),"",$H18*$R18)</f>
        <v/>
      </c>
      <c r="T18" s="23" t="str">
        <f aca="false">IF(OR($E18="",$I18=""),"",MIN(1,MIN(N($F18),$E18)+($E18-MIN(N($F18),$E18))*(1-$I18)))</f>
        <v/>
      </c>
      <c r="U18" s="23" t="str">
        <f aca="false">IF(OR($T18="",$Q18=""),"",1-(1-$T18)^$Q18)</f>
        <v/>
      </c>
      <c r="V18" s="23" t="str">
        <f aca="false">IF($M18&lt;&gt;"",$M18,IF($G18="","",MAX(1,(Setup!$B$6/$G18)^Setup!$B$7)))</f>
        <v/>
      </c>
      <c r="W18" s="22" t="str">
        <f aca="false">IF(COUNT($J18:$L18)&lt;3,"",Setup!$B$10*(6-$J18)+Setup!$B$11*$K18+Setup!$B$12*$L18)</f>
        <v/>
      </c>
      <c r="X18" s="23" t="str">
        <f aca="false">IF($W18="","",IF(LEFT(Setup!$B$15,1)="B",EXP(Setup!$B$14*($W18-1)),1+Setup!$B$14*($W18-1)))</f>
        <v/>
      </c>
      <c r="Y18" s="23" t="str">
        <f aca="false">IF($N18&lt;&gt;"",$N18,$X18)</f>
        <v/>
      </c>
      <c r="Z18" s="22" t="str">
        <f aca="false">IF(OR($H18="",$U18="",$V18=""),"",$H18*$U18*$V18)</f>
        <v/>
      </c>
      <c r="AA18" s="22" t="str">
        <f aca="false">IF(OR($Z18="",$Y18=""),"",$Z18*$Y18)</f>
        <v/>
      </c>
      <c r="AB18" s="1" t="str">
        <f aca="false">IF($A18="","",IF(OR($E18="",$G18="",$H18="",$I18="",AND($N18="",COUNT($J18:$L18)&lt;3)),"Missing: "&amp;IF($E18="","P ","")&amp;IF($G18="","T ","")&amp;IF($H18="","I ","")&amp;IF($I18="","C ","")&amp;IF(AND($N18="",COUNT($J18:$L18)&lt;3),"C_ctrl/C_ext/C_irr",""),IF(N($F18)&gt;$E18,"P_floor &gt; P (floor capped at P)","OK")))</f>
        <v/>
      </c>
      <c r="AC18" s="1" t="str">
        <f aca="false">IF($AA18="","",$AA18+ROW()/1000000)</f>
        <v/>
      </c>
      <c r="AD18" s="18" t="n">
        <f aca="false">IF(AND($A18&lt;&gt;"",ISNUMBER($AA18)),1,0)</f>
        <v>0</v>
      </c>
      <c r="AE18" s="18" t="n">
        <f aca="false">IF($AD18=1,$H18,0)</f>
        <v>0</v>
      </c>
      <c r="AF18" s="18" t="n">
        <f aca="false">IF($AD18=1,$E18,0)</f>
        <v>0</v>
      </c>
      <c r="AG18" s="18" t="n">
        <f aca="false">IF($AD18=1,MIN(N($F18),$E18),0)</f>
        <v>0</v>
      </c>
      <c r="AH18" s="18" t="n">
        <f aca="false">IF($AD18=1,$I18,0)</f>
        <v>0</v>
      </c>
      <c r="AI18" s="18" t="n">
        <f aca="false">IF($AD18=1,$G18,1)</f>
        <v>1</v>
      </c>
      <c r="AJ18" s="18" t="n">
        <f aca="false">IF($AD18=1,$V18,1)</f>
        <v>1</v>
      </c>
      <c r="AK18" s="18" t="n">
        <f aca="false">IF($AD18=1,$Y18,1)</f>
        <v>1</v>
      </c>
    </row>
    <row r="19" customFormat="false" ht="15" hidden="false" customHeight="false" outlineLevel="0" collapsed="false">
      <c r="A19" s="10"/>
      <c r="B19" s="10"/>
      <c r="C19" s="12"/>
      <c r="D19" s="17"/>
      <c r="E19" s="13"/>
      <c r="F19" s="21"/>
      <c r="G19" s="12"/>
      <c r="H19" s="12"/>
      <c r="I19" s="12"/>
      <c r="J19" s="12"/>
      <c r="K19" s="12"/>
      <c r="L19" s="12"/>
      <c r="M19" s="15"/>
      <c r="N19" s="15"/>
      <c r="O19" s="12"/>
      <c r="P19" s="17"/>
      <c r="Q19" s="22" t="str">
        <f aca="false">IF(OR($G19="",Setup!$B$5=""),"",Setup!$B$5/$G19)</f>
        <v/>
      </c>
      <c r="R19" s="23" t="str">
        <f aca="false">IF(OR($E19="",$Q19=""),"",1-(1-$E19)^$Q19)</f>
        <v/>
      </c>
      <c r="S19" s="22" t="str">
        <f aca="false">IF(OR($R19="",$H19=""),"",$H19*$R19)</f>
        <v/>
      </c>
      <c r="T19" s="23" t="str">
        <f aca="false">IF(OR($E19="",$I19=""),"",MIN(1,MIN(N($F19),$E19)+($E19-MIN(N($F19),$E19))*(1-$I19)))</f>
        <v/>
      </c>
      <c r="U19" s="23" t="str">
        <f aca="false">IF(OR($T19="",$Q19=""),"",1-(1-$T19)^$Q19)</f>
        <v/>
      </c>
      <c r="V19" s="23" t="str">
        <f aca="false">IF($M19&lt;&gt;"",$M19,IF($G19="","",MAX(1,(Setup!$B$6/$G19)^Setup!$B$7)))</f>
        <v/>
      </c>
      <c r="W19" s="22" t="str">
        <f aca="false">IF(COUNT($J19:$L19)&lt;3,"",Setup!$B$10*(6-$J19)+Setup!$B$11*$K19+Setup!$B$12*$L19)</f>
        <v/>
      </c>
      <c r="X19" s="23" t="str">
        <f aca="false">IF($W19="","",IF(LEFT(Setup!$B$15,1)="B",EXP(Setup!$B$14*($W19-1)),1+Setup!$B$14*($W19-1)))</f>
        <v/>
      </c>
      <c r="Y19" s="23" t="str">
        <f aca="false">IF($N19&lt;&gt;"",$N19,$X19)</f>
        <v/>
      </c>
      <c r="Z19" s="22" t="str">
        <f aca="false">IF(OR($H19="",$U19="",$V19=""),"",$H19*$U19*$V19)</f>
        <v/>
      </c>
      <c r="AA19" s="22" t="str">
        <f aca="false">IF(OR($Z19="",$Y19=""),"",$Z19*$Y19)</f>
        <v/>
      </c>
      <c r="AB19" s="1" t="str">
        <f aca="false">IF($A19="","",IF(OR($E19="",$G19="",$H19="",$I19="",AND($N19="",COUNT($J19:$L19)&lt;3)),"Missing: "&amp;IF($E19="","P ","")&amp;IF($G19="","T ","")&amp;IF($H19="","I ","")&amp;IF($I19="","C ","")&amp;IF(AND($N19="",COUNT($J19:$L19)&lt;3),"C_ctrl/C_ext/C_irr",""),IF(N($F19)&gt;$E19,"P_floor &gt; P (floor capped at P)","OK")))</f>
        <v/>
      </c>
      <c r="AC19" s="1" t="str">
        <f aca="false">IF($AA19="","",$AA19+ROW()/1000000)</f>
        <v/>
      </c>
      <c r="AD19" s="18" t="n">
        <f aca="false">IF(AND($A19&lt;&gt;"",ISNUMBER($AA19)),1,0)</f>
        <v>0</v>
      </c>
      <c r="AE19" s="18" t="n">
        <f aca="false">IF($AD19=1,$H19,0)</f>
        <v>0</v>
      </c>
      <c r="AF19" s="18" t="n">
        <f aca="false">IF($AD19=1,$E19,0)</f>
        <v>0</v>
      </c>
      <c r="AG19" s="18" t="n">
        <f aca="false">IF($AD19=1,MIN(N($F19),$E19),0)</f>
        <v>0</v>
      </c>
      <c r="AH19" s="18" t="n">
        <f aca="false">IF($AD19=1,$I19,0)</f>
        <v>0</v>
      </c>
      <c r="AI19" s="18" t="n">
        <f aca="false">IF($AD19=1,$G19,1)</f>
        <v>1</v>
      </c>
      <c r="AJ19" s="18" t="n">
        <f aca="false">IF($AD19=1,$V19,1)</f>
        <v>1</v>
      </c>
      <c r="AK19" s="18" t="n">
        <f aca="false">IF($AD19=1,$Y19,1)</f>
        <v>1</v>
      </c>
    </row>
    <row r="20" customFormat="false" ht="15" hidden="false" customHeight="false" outlineLevel="0" collapsed="false">
      <c r="A20" s="10"/>
      <c r="B20" s="10"/>
      <c r="C20" s="12"/>
      <c r="D20" s="17"/>
      <c r="E20" s="13"/>
      <c r="F20" s="21"/>
      <c r="G20" s="12"/>
      <c r="H20" s="12"/>
      <c r="I20" s="12"/>
      <c r="J20" s="12"/>
      <c r="K20" s="12"/>
      <c r="L20" s="12"/>
      <c r="M20" s="15"/>
      <c r="N20" s="15"/>
      <c r="O20" s="12"/>
      <c r="P20" s="17"/>
      <c r="Q20" s="22" t="str">
        <f aca="false">IF(OR($G20="",Setup!$B$5=""),"",Setup!$B$5/$G20)</f>
        <v/>
      </c>
      <c r="R20" s="23" t="str">
        <f aca="false">IF(OR($E20="",$Q20=""),"",1-(1-$E20)^$Q20)</f>
        <v/>
      </c>
      <c r="S20" s="22" t="str">
        <f aca="false">IF(OR($R20="",$H20=""),"",$H20*$R20)</f>
        <v/>
      </c>
      <c r="T20" s="23" t="str">
        <f aca="false">IF(OR($E20="",$I20=""),"",MIN(1,MIN(N($F20),$E20)+($E20-MIN(N($F20),$E20))*(1-$I20)))</f>
        <v/>
      </c>
      <c r="U20" s="23" t="str">
        <f aca="false">IF(OR($T20="",$Q20=""),"",1-(1-$T20)^$Q20)</f>
        <v/>
      </c>
      <c r="V20" s="23" t="str">
        <f aca="false">IF($M20&lt;&gt;"",$M20,IF($G20="","",MAX(1,(Setup!$B$6/$G20)^Setup!$B$7)))</f>
        <v/>
      </c>
      <c r="W20" s="22" t="str">
        <f aca="false">IF(COUNT($J20:$L20)&lt;3,"",Setup!$B$10*(6-$J20)+Setup!$B$11*$K20+Setup!$B$12*$L20)</f>
        <v/>
      </c>
      <c r="X20" s="23" t="str">
        <f aca="false">IF($W20="","",IF(LEFT(Setup!$B$15,1)="B",EXP(Setup!$B$14*($W20-1)),1+Setup!$B$14*($W20-1)))</f>
        <v/>
      </c>
      <c r="Y20" s="23" t="str">
        <f aca="false">IF($N20&lt;&gt;"",$N20,$X20)</f>
        <v/>
      </c>
      <c r="Z20" s="22" t="str">
        <f aca="false">IF(OR($H20="",$U20="",$V20=""),"",$H20*$U20*$V20)</f>
        <v/>
      </c>
      <c r="AA20" s="22" t="str">
        <f aca="false">IF(OR($Z20="",$Y20=""),"",$Z20*$Y20)</f>
        <v/>
      </c>
      <c r="AB20" s="1" t="str">
        <f aca="false">IF($A20="","",IF(OR($E20="",$G20="",$H20="",$I20="",AND($N20="",COUNT($J20:$L20)&lt;3)),"Missing: "&amp;IF($E20="","P ","")&amp;IF($G20="","T ","")&amp;IF($H20="","I ","")&amp;IF($I20="","C ","")&amp;IF(AND($N20="",COUNT($J20:$L20)&lt;3),"C_ctrl/C_ext/C_irr",""),IF(N($F20)&gt;$E20,"P_floor &gt; P (floor capped at P)","OK")))</f>
        <v/>
      </c>
      <c r="AC20" s="1" t="str">
        <f aca="false">IF($AA20="","",$AA20+ROW()/1000000)</f>
        <v/>
      </c>
      <c r="AD20" s="18" t="n">
        <f aca="false">IF(AND($A20&lt;&gt;"",ISNUMBER($AA20)),1,0)</f>
        <v>0</v>
      </c>
      <c r="AE20" s="18" t="n">
        <f aca="false">IF($AD20=1,$H20,0)</f>
        <v>0</v>
      </c>
      <c r="AF20" s="18" t="n">
        <f aca="false">IF($AD20=1,$E20,0)</f>
        <v>0</v>
      </c>
      <c r="AG20" s="18" t="n">
        <f aca="false">IF($AD20=1,MIN(N($F20),$E20),0)</f>
        <v>0</v>
      </c>
      <c r="AH20" s="18" t="n">
        <f aca="false">IF($AD20=1,$I20,0)</f>
        <v>0</v>
      </c>
      <c r="AI20" s="18" t="n">
        <f aca="false">IF($AD20=1,$G20,1)</f>
        <v>1</v>
      </c>
      <c r="AJ20" s="18" t="n">
        <f aca="false">IF($AD20=1,$V20,1)</f>
        <v>1</v>
      </c>
      <c r="AK20" s="18" t="n">
        <f aca="false">IF($AD20=1,$Y20,1)</f>
        <v>1</v>
      </c>
    </row>
    <row r="21" customFormat="false" ht="15" hidden="false" customHeight="false" outlineLevel="0" collapsed="false">
      <c r="A21" s="10"/>
      <c r="B21" s="10"/>
      <c r="C21" s="12"/>
      <c r="D21" s="17"/>
      <c r="E21" s="13"/>
      <c r="F21" s="21"/>
      <c r="G21" s="12"/>
      <c r="H21" s="12"/>
      <c r="I21" s="12"/>
      <c r="J21" s="12"/>
      <c r="K21" s="12"/>
      <c r="L21" s="12"/>
      <c r="M21" s="15"/>
      <c r="N21" s="15"/>
      <c r="O21" s="12"/>
      <c r="P21" s="17"/>
      <c r="Q21" s="22" t="str">
        <f aca="false">IF(OR($G21="",Setup!$B$5=""),"",Setup!$B$5/$G21)</f>
        <v/>
      </c>
      <c r="R21" s="23" t="str">
        <f aca="false">IF(OR($E21="",$Q21=""),"",1-(1-$E21)^$Q21)</f>
        <v/>
      </c>
      <c r="S21" s="22" t="str">
        <f aca="false">IF(OR($R21="",$H21=""),"",$H21*$R21)</f>
        <v/>
      </c>
      <c r="T21" s="23" t="str">
        <f aca="false">IF(OR($E21="",$I21=""),"",MIN(1,MIN(N($F21),$E21)+($E21-MIN(N($F21),$E21))*(1-$I21)))</f>
        <v/>
      </c>
      <c r="U21" s="23" t="str">
        <f aca="false">IF(OR($T21="",$Q21=""),"",1-(1-$T21)^$Q21)</f>
        <v/>
      </c>
      <c r="V21" s="23" t="str">
        <f aca="false">IF($M21&lt;&gt;"",$M21,IF($G21="","",MAX(1,(Setup!$B$6/$G21)^Setup!$B$7)))</f>
        <v/>
      </c>
      <c r="W21" s="22" t="str">
        <f aca="false">IF(COUNT($J21:$L21)&lt;3,"",Setup!$B$10*(6-$J21)+Setup!$B$11*$K21+Setup!$B$12*$L21)</f>
        <v/>
      </c>
      <c r="X21" s="23" t="str">
        <f aca="false">IF($W21="","",IF(LEFT(Setup!$B$15,1)="B",EXP(Setup!$B$14*($W21-1)),1+Setup!$B$14*($W21-1)))</f>
        <v/>
      </c>
      <c r="Y21" s="23" t="str">
        <f aca="false">IF($N21&lt;&gt;"",$N21,$X21)</f>
        <v/>
      </c>
      <c r="Z21" s="22" t="str">
        <f aca="false">IF(OR($H21="",$U21="",$V21=""),"",$H21*$U21*$V21)</f>
        <v/>
      </c>
      <c r="AA21" s="22" t="str">
        <f aca="false">IF(OR($Z21="",$Y21=""),"",$Z21*$Y21)</f>
        <v/>
      </c>
      <c r="AB21" s="1" t="str">
        <f aca="false">IF($A21="","",IF(OR($E21="",$G21="",$H21="",$I21="",AND($N21="",COUNT($J21:$L21)&lt;3)),"Missing: "&amp;IF($E21="","P ","")&amp;IF($G21="","T ","")&amp;IF($H21="","I ","")&amp;IF($I21="","C ","")&amp;IF(AND($N21="",COUNT($J21:$L21)&lt;3),"C_ctrl/C_ext/C_irr",""),IF(N($F21)&gt;$E21,"P_floor &gt; P (floor capped at P)","OK")))</f>
        <v/>
      </c>
      <c r="AC21" s="1" t="str">
        <f aca="false">IF($AA21="","",$AA21+ROW()/1000000)</f>
        <v/>
      </c>
      <c r="AD21" s="18" t="n">
        <f aca="false">IF(AND($A21&lt;&gt;"",ISNUMBER($AA21)),1,0)</f>
        <v>0</v>
      </c>
      <c r="AE21" s="18" t="n">
        <f aca="false">IF($AD21=1,$H21,0)</f>
        <v>0</v>
      </c>
      <c r="AF21" s="18" t="n">
        <f aca="false">IF($AD21=1,$E21,0)</f>
        <v>0</v>
      </c>
      <c r="AG21" s="18" t="n">
        <f aca="false">IF($AD21=1,MIN(N($F21),$E21),0)</f>
        <v>0</v>
      </c>
      <c r="AH21" s="18" t="n">
        <f aca="false">IF($AD21=1,$I21,0)</f>
        <v>0</v>
      </c>
      <c r="AI21" s="18" t="n">
        <f aca="false">IF($AD21=1,$G21,1)</f>
        <v>1</v>
      </c>
      <c r="AJ21" s="18" t="n">
        <f aca="false">IF($AD21=1,$V21,1)</f>
        <v>1</v>
      </c>
      <c r="AK21" s="18" t="n">
        <f aca="false">IF($AD21=1,$Y21,1)</f>
        <v>1</v>
      </c>
    </row>
    <row r="22" customFormat="false" ht="15" hidden="false" customHeight="false" outlineLevel="0" collapsed="false">
      <c r="A22" s="10"/>
      <c r="B22" s="10"/>
      <c r="C22" s="12"/>
      <c r="D22" s="17"/>
      <c r="E22" s="13"/>
      <c r="F22" s="21"/>
      <c r="G22" s="12"/>
      <c r="H22" s="12"/>
      <c r="I22" s="12"/>
      <c r="J22" s="12"/>
      <c r="K22" s="12"/>
      <c r="L22" s="12"/>
      <c r="M22" s="15"/>
      <c r="N22" s="15"/>
      <c r="O22" s="12"/>
      <c r="P22" s="17"/>
      <c r="Q22" s="22" t="str">
        <f aca="false">IF(OR($G22="",Setup!$B$5=""),"",Setup!$B$5/$G22)</f>
        <v/>
      </c>
      <c r="R22" s="23" t="str">
        <f aca="false">IF(OR($E22="",$Q22=""),"",1-(1-$E22)^$Q22)</f>
        <v/>
      </c>
      <c r="S22" s="22" t="str">
        <f aca="false">IF(OR($R22="",$H22=""),"",$H22*$R22)</f>
        <v/>
      </c>
      <c r="T22" s="23" t="str">
        <f aca="false">IF(OR($E22="",$I22=""),"",MIN(1,MIN(N($F22),$E22)+($E22-MIN(N($F22),$E22))*(1-$I22)))</f>
        <v/>
      </c>
      <c r="U22" s="23" t="str">
        <f aca="false">IF(OR($T22="",$Q22=""),"",1-(1-$T22)^$Q22)</f>
        <v/>
      </c>
      <c r="V22" s="23" t="str">
        <f aca="false">IF($M22&lt;&gt;"",$M22,IF($G22="","",MAX(1,(Setup!$B$6/$G22)^Setup!$B$7)))</f>
        <v/>
      </c>
      <c r="W22" s="22" t="str">
        <f aca="false">IF(COUNT($J22:$L22)&lt;3,"",Setup!$B$10*(6-$J22)+Setup!$B$11*$K22+Setup!$B$12*$L22)</f>
        <v/>
      </c>
      <c r="X22" s="23" t="str">
        <f aca="false">IF($W22="","",IF(LEFT(Setup!$B$15,1)="B",EXP(Setup!$B$14*($W22-1)),1+Setup!$B$14*($W22-1)))</f>
        <v/>
      </c>
      <c r="Y22" s="23" t="str">
        <f aca="false">IF($N22&lt;&gt;"",$N22,$X22)</f>
        <v/>
      </c>
      <c r="Z22" s="22" t="str">
        <f aca="false">IF(OR($H22="",$U22="",$V22=""),"",$H22*$U22*$V22)</f>
        <v/>
      </c>
      <c r="AA22" s="22" t="str">
        <f aca="false">IF(OR($Z22="",$Y22=""),"",$Z22*$Y22)</f>
        <v/>
      </c>
      <c r="AB22" s="1" t="str">
        <f aca="false">IF($A22="","",IF(OR($E22="",$G22="",$H22="",$I22="",AND($N22="",COUNT($J22:$L22)&lt;3)),"Missing: "&amp;IF($E22="","P ","")&amp;IF($G22="","T ","")&amp;IF($H22="","I ","")&amp;IF($I22="","C ","")&amp;IF(AND($N22="",COUNT($J22:$L22)&lt;3),"C_ctrl/C_ext/C_irr",""),IF(N($F22)&gt;$E22,"P_floor &gt; P (floor capped at P)","OK")))</f>
        <v/>
      </c>
      <c r="AC22" s="1" t="str">
        <f aca="false">IF($AA22="","",$AA22+ROW()/1000000)</f>
        <v/>
      </c>
      <c r="AD22" s="18" t="n">
        <f aca="false">IF(AND($A22&lt;&gt;"",ISNUMBER($AA22)),1,0)</f>
        <v>0</v>
      </c>
      <c r="AE22" s="18" t="n">
        <f aca="false">IF($AD22=1,$H22,0)</f>
        <v>0</v>
      </c>
      <c r="AF22" s="18" t="n">
        <f aca="false">IF($AD22=1,$E22,0)</f>
        <v>0</v>
      </c>
      <c r="AG22" s="18" t="n">
        <f aca="false">IF($AD22=1,MIN(N($F22),$E22),0)</f>
        <v>0</v>
      </c>
      <c r="AH22" s="18" t="n">
        <f aca="false">IF($AD22=1,$I22,0)</f>
        <v>0</v>
      </c>
      <c r="AI22" s="18" t="n">
        <f aca="false">IF($AD22=1,$G22,1)</f>
        <v>1</v>
      </c>
      <c r="AJ22" s="18" t="n">
        <f aca="false">IF($AD22=1,$V22,1)</f>
        <v>1</v>
      </c>
      <c r="AK22" s="18" t="n">
        <f aca="false">IF($AD22=1,$Y22,1)</f>
        <v>1</v>
      </c>
    </row>
    <row r="23" customFormat="false" ht="15" hidden="false" customHeight="false" outlineLevel="0" collapsed="false">
      <c r="A23" s="10"/>
      <c r="B23" s="10"/>
      <c r="C23" s="12"/>
      <c r="D23" s="17"/>
      <c r="E23" s="13"/>
      <c r="F23" s="21"/>
      <c r="G23" s="12"/>
      <c r="H23" s="12"/>
      <c r="I23" s="12"/>
      <c r="J23" s="12"/>
      <c r="K23" s="12"/>
      <c r="L23" s="12"/>
      <c r="M23" s="15"/>
      <c r="N23" s="15"/>
      <c r="O23" s="12"/>
      <c r="P23" s="17"/>
      <c r="Q23" s="22" t="str">
        <f aca="false">IF(OR($G23="",Setup!$B$5=""),"",Setup!$B$5/$G23)</f>
        <v/>
      </c>
      <c r="R23" s="23" t="str">
        <f aca="false">IF(OR($E23="",$Q23=""),"",1-(1-$E23)^$Q23)</f>
        <v/>
      </c>
      <c r="S23" s="22" t="str">
        <f aca="false">IF(OR($R23="",$H23=""),"",$H23*$R23)</f>
        <v/>
      </c>
      <c r="T23" s="23" t="str">
        <f aca="false">IF(OR($E23="",$I23=""),"",MIN(1,MIN(N($F23),$E23)+($E23-MIN(N($F23),$E23))*(1-$I23)))</f>
        <v/>
      </c>
      <c r="U23" s="23" t="str">
        <f aca="false">IF(OR($T23="",$Q23=""),"",1-(1-$T23)^$Q23)</f>
        <v/>
      </c>
      <c r="V23" s="23" t="str">
        <f aca="false">IF($M23&lt;&gt;"",$M23,IF($G23="","",MAX(1,(Setup!$B$6/$G23)^Setup!$B$7)))</f>
        <v/>
      </c>
      <c r="W23" s="22" t="str">
        <f aca="false">IF(COUNT($J23:$L23)&lt;3,"",Setup!$B$10*(6-$J23)+Setup!$B$11*$K23+Setup!$B$12*$L23)</f>
        <v/>
      </c>
      <c r="X23" s="23" t="str">
        <f aca="false">IF($W23="","",IF(LEFT(Setup!$B$15,1)="B",EXP(Setup!$B$14*($W23-1)),1+Setup!$B$14*($W23-1)))</f>
        <v/>
      </c>
      <c r="Y23" s="23" t="str">
        <f aca="false">IF($N23&lt;&gt;"",$N23,$X23)</f>
        <v/>
      </c>
      <c r="Z23" s="22" t="str">
        <f aca="false">IF(OR($H23="",$U23="",$V23=""),"",$H23*$U23*$V23)</f>
        <v/>
      </c>
      <c r="AA23" s="22" t="str">
        <f aca="false">IF(OR($Z23="",$Y23=""),"",$Z23*$Y23)</f>
        <v/>
      </c>
      <c r="AB23" s="1" t="str">
        <f aca="false">IF($A23="","",IF(OR($E23="",$G23="",$H23="",$I23="",AND($N23="",COUNT($J23:$L23)&lt;3)),"Missing: "&amp;IF($E23="","P ","")&amp;IF($G23="","T ","")&amp;IF($H23="","I ","")&amp;IF($I23="","C ","")&amp;IF(AND($N23="",COUNT($J23:$L23)&lt;3),"C_ctrl/C_ext/C_irr",""),IF(N($F23)&gt;$E23,"P_floor &gt; P (floor capped at P)","OK")))</f>
        <v/>
      </c>
      <c r="AC23" s="1" t="str">
        <f aca="false">IF($AA23="","",$AA23+ROW()/1000000)</f>
        <v/>
      </c>
      <c r="AD23" s="18" t="n">
        <f aca="false">IF(AND($A23&lt;&gt;"",ISNUMBER($AA23)),1,0)</f>
        <v>0</v>
      </c>
      <c r="AE23" s="18" t="n">
        <f aca="false">IF($AD23=1,$H23,0)</f>
        <v>0</v>
      </c>
      <c r="AF23" s="18" t="n">
        <f aca="false">IF($AD23=1,$E23,0)</f>
        <v>0</v>
      </c>
      <c r="AG23" s="18" t="n">
        <f aca="false">IF($AD23=1,MIN(N($F23),$E23),0)</f>
        <v>0</v>
      </c>
      <c r="AH23" s="18" t="n">
        <f aca="false">IF($AD23=1,$I23,0)</f>
        <v>0</v>
      </c>
      <c r="AI23" s="18" t="n">
        <f aca="false">IF($AD23=1,$G23,1)</f>
        <v>1</v>
      </c>
      <c r="AJ23" s="18" t="n">
        <f aca="false">IF($AD23=1,$V23,1)</f>
        <v>1</v>
      </c>
      <c r="AK23" s="18" t="n">
        <f aca="false">IF($AD23=1,$Y23,1)</f>
        <v>1</v>
      </c>
    </row>
    <row r="24" customFormat="false" ht="15" hidden="false" customHeight="false" outlineLevel="0" collapsed="false">
      <c r="A24" s="10"/>
      <c r="B24" s="10"/>
      <c r="C24" s="12"/>
      <c r="D24" s="17"/>
      <c r="E24" s="13"/>
      <c r="F24" s="21"/>
      <c r="G24" s="12"/>
      <c r="H24" s="12"/>
      <c r="I24" s="12"/>
      <c r="J24" s="12"/>
      <c r="K24" s="12"/>
      <c r="L24" s="12"/>
      <c r="M24" s="15"/>
      <c r="N24" s="15"/>
      <c r="O24" s="12"/>
      <c r="P24" s="17"/>
      <c r="Q24" s="22" t="str">
        <f aca="false">IF(OR($G24="",Setup!$B$5=""),"",Setup!$B$5/$G24)</f>
        <v/>
      </c>
      <c r="R24" s="23" t="str">
        <f aca="false">IF(OR($E24="",$Q24=""),"",1-(1-$E24)^$Q24)</f>
        <v/>
      </c>
      <c r="S24" s="22" t="str">
        <f aca="false">IF(OR($R24="",$H24=""),"",$H24*$R24)</f>
        <v/>
      </c>
      <c r="T24" s="23" t="str">
        <f aca="false">IF(OR($E24="",$I24=""),"",MIN(1,MIN(N($F24),$E24)+($E24-MIN(N($F24),$E24))*(1-$I24)))</f>
        <v/>
      </c>
      <c r="U24" s="23" t="str">
        <f aca="false">IF(OR($T24="",$Q24=""),"",1-(1-$T24)^$Q24)</f>
        <v/>
      </c>
      <c r="V24" s="23" t="str">
        <f aca="false">IF($M24&lt;&gt;"",$M24,IF($G24="","",MAX(1,(Setup!$B$6/$G24)^Setup!$B$7)))</f>
        <v/>
      </c>
      <c r="W24" s="22" t="str">
        <f aca="false">IF(COUNT($J24:$L24)&lt;3,"",Setup!$B$10*(6-$J24)+Setup!$B$11*$K24+Setup!$B$12*$L24)</f>
        <v/>
      </c>
      <c r="X24" s="23" t="str">
        <f aca="false">IF($W24="","",IF(LEFT(Setup!$B$15,1)="B",EXP(Setup!$B$14*($W24-1)),1+Setup!$B$14*($W24-1)))</f>
        <v/>
      </c>
      <c r="Y24" s="23" t="str">
        <f aca="false">IF($N24&lt;&gt;"",$N24,$X24)</f>
        <v/>
      </c>
      <c r="Z24" s="22" t="str">
        <f aca="false">IF(OR($H24="",$U24="",$V24=""),"",$H24*$U24*$V24)</f>
        <v/>
      </c>
      <c r="AA24" s="22" t="str">
        <f aca="false">IF(OR($Z24="",$Y24=""),"",$Z24*$Y24)</f>
        <v/>
      </c>
      <c r="AB24" s="1" t="str">
        <f aca="false">IF($A24="","",IF(OR($E24="",$G24="",$H24="",$I24="",AND($N24="",COUNT($J24:$L24)&lt;3)),"Missing: "&amp;IF($E24="","P ","")&amp;IF($G24="","T ","")&amp;IF($H24="","I ","")&amp;IF($I24="","C ","")&amp;IF(AND($N24="",COUNT($J24:$L24)&lt;3),"C_ctrl/C_ext/C_irr",""),IF(N($F24)&gt;$E24,"P_floor &gt; P (floor capped at P)","OK")))</f>
        <v/>
      </c>
      <c r="AC24" s="1" t="str">
        <f aca="false">IF($AA24="","",$AA24+ROW()/1000000)</f>
        <v/>
      </c>
      <c r="AD24" s="18" t="n">
        <f aca="false">IF(AND($A24&lt;&gt;"",ISNUMBER($AA24)),1,0)</f>
        <v>0</v>
      </c>
      <c r="AE24" s="18" t="n">
        <f aca="false">IF($AD24=1,$H24,0)</f>
        <v>0</v>
      </c>
      <c r="AF24" s="18" t="n">
        <f aca="false">IF($AD24=1,$E24,0)</f>
        <v>0</v>
      </c>
      <c r="AG24" s="18" t="n">
        <f aca="false">IF($AD24=1,MIN(N($F24),$E24),0)</f>
        <v>0</v>
      </c>
      <c r="AH24" s="18" t="n">
        <f aca="false">IF($AD24=1,$I24,0)</f>
        <v>0</v>
      </c>
      <c r="AI24" s="18" t="n">
        <f aca="false">IF($AD24=1,$G24,1)</f>
        <v>1</v>
      </c>
      <c r="AJ24" s="18" t="n">
        <f aca="false">IF($AD24=1,$V24,1)</f>
        <v>1</v>
      </c>
      <c r="AK24" s="18" t="n">
        <f aca="false">IF($AD24=1,$Y24,1)</f>
        <v>1</v>
      </c>
    </row>
    <row r="25" customFormat="false" ht="15" hidden="false" customHeight="false" outlineLevel="0" collapsed="false">
      <c r="A25" s="10"/>
      <c r="B25" s="10"/>
      <c r="C25" s="12"/>
      <c r="D25" s="17"/>
      <c r="E25" s="13"/>
      <c r="F25" s="21"/>
      <c r="G25" s="12"/>
      <c r="H25" s="12"/>
      <c r="I25" s="12"/>
      <c r="J25" s="12"/>
      <c r="K25" s="12"/>
      <c r="L25" s="12"/>
      <c r="M25" s="15"/>
      <c r="N25" s="15"/>
      <c r="O25" s="12"/>
      <c r="P25" s="17"/>
      <c r="Q25" s="22" t="str">
        <f aca="false">IF(OR($G25="",Setup!$B$5=""),"",Setup!$B$5/$G25)</f>
        <v/>
      </c>
      <c r="R25" s="23" t="str">
        <f aca="false">IF(OR($E25="",$Q25=""),"",1-(1-$E25)^$Q25)</f>
        <v/>
      </c>
      <c r="S25" s="22" t="str">
        <f aca="false">IF(OR($R25="",$H25=""),"",$H25*$R25)</f>
        <v/>
      </c>
      <c r="T25" s="23" t="str">
        <f aca="false">IF(OR($E25="",$I25=""),"",MIN(1,MIN(N($F25),$E25)+($E25-MIN(N($F25),$E25))*(1-$I25)))</f>
        <v/>
      </c>
      <c r="U25" s="23" t="str">
        <f aca="false">IF(OR($T25="",$Q25=""),"",1-(1-$T25)^$Q25)</f>
        <v/>
      </c>
      <c r="V25" s="23" t="str">
        <f aca="false">IF($M25&lt;&gt;"",$M25,IF($G25="","",MAX(1,(Setup!$B$6/$G25)^Setup!$B$7)))</f>
        <v/>
      </c>
      <c r="W25" s="22" t="str">
        <f aca="false">IF(COUNT($J25:$L25)&lt;3,"",Setup!$B$10*(6-$J25)+Setup!$B$11*$K25+Setup!$B$12*$L25)</f>
        <v/>
      </c>
      <c r="X25" s="23" t="str">
        <f aca="false">IF($W25="","",IF(LEFT(Setup!$B$15,1)="B",EXP(Setup!$B$14*($W25-1)),1+Setup!$B$14*($W25-1)))</f>
        <v/>
      </c>
      <c r="Y25" s="23" t="str">
        <f aca="false">IF($N25&lt;&gt;"",$N25,$X25)</f>
        <v/>
      </c>
      <c r="Z25" s="22" t="str">
        <f aca="false">IF(OR($H25="",$U25="",$V25=""),"",$H25*$U25*$V25)</f>
        <v/>
      </c>
      <c r="AA25" s="22" t="str">
        <f aca="false">IF(OR($Z25="",$Y25=""),"",$Z25*$Y25)</f>
        <v/>
      </c>
      <c r="AB25" s="1" t="str">
        <f aca="false">IF($A25="","",IF(OR($E25="",$G25="",$H25="",$I25="",AND($N25="",COUNT($J25:$L25)&lt;3)),"Missing: "&amp;IF($E25="","P ","")&amp;IF($G25="","T ","")&amp;IF($H25="","I ","")&amp;IF($I25="","C ","")&amp;IF(AND($N25="",COUNT($J25:$L25)&lt;3),"C_ctrl/C_ext/C_irr",""),IF(N($F25)&gt;$E25,"P_floor &gt; P (floor capped at P)","OK")))</f>
        <v/>
      </c>
      <c r="AC25" s="1" t="str">
        <f aca="false">IF($AA25="","",$AA25+ROW()/1000000)</f>
        <v/>
      </c>
      <c r="AD25" s="18" t="n">
        <f aca="false">IF(AND($A25&lt;&gt;"",ISNUMBER($AA25)),1,0)</f>
        <v>0</v>
      </c>
      <c r="AE25" s="18" t="n">
        <f aca="false">IF($AD25=1,$H25,0)</f>
        <v>0</v>
      </c>
      <c r="AF25" s="18" t="n">
        <f aca="false">IF($AD25=1,$E25,0)</f>
        <v>0</v>
      </c>
      <c r="AG25" s="18" t="n">
        <f aca="false">IF($AD25=1,MIN(N($F25),$E25),0)</f>
        <v>0</v>
      </c>
      <c r="AH25" s="18" t="n">
        <f aca="false">IF($AD25=1,$I25,0)</f>
        <v>0</v>
      </c>
      <c r="AI25" s="18" t="n">
        <f aca="false">IF($AD25=1,$G25,1)</f>
        <v>1</v>
      </c>
      <c r="AJ25" s="18" t="n">
        <f aca="false">IF($AD25=1,$V25,1)</f>
        <v>1</v>
      </c>
      <c r="AK25" s="18" t="n">
        <f aca="false">IF($AD25=1,$Y25,1)</f>
        <v>1</v>
      </c>
    </row>
    <row r="26" customFormat="false" ht="15" hidden="false" customHeight="false" outlineLevel="0" collapsed="false">
      <c r="A26" s="10"/>
      <c r="B26" s="10"/>
      <c r="C26" s="12"/>
      <c r="D26" s="17"/>
      <c r="E26" s="13"/>
      <c r="F26" s="21"/>
      <c r="G26" s="12"/>
      <c r="H26" s="12"/>
      <c r="I26" s="12"/>
      <c r="J26" s="12"/>
      <c r="K26" s="12"/>
      <c r="L26" s="12"/>
      <c r="M26" s="15"/>
      <c r="N26" s="15"/>
      <c r="O26" s="12"/>
      <c r="P26" s="17"/>
      <c r="Q26" s="22" t="str">
        <f aca="false">IF(OR($G26="",Setup!$B$5=""),"",Setup!$B$5/$G26)</f>
        <v/>
      </c>
      <c r="R26" s="23" t="str">
        <f aca="false">IF(OR($E26="",$Q26=""),"",1-(1-$E26)^$Q26)</f>
        <v/>
      </c>
      <c r="S26" s="22" t="str">
        <f aca="false">IF(OR($R26="",$H26=""),"",$H26*$R26)</f>
        <v/>
      </c>
      <c r="T26" s="23" t="str">
        <f aca="false">IF(OR($E26="",$I26=""),"",MIN(1,MIN(N($F26),$E26)+($E26-MIN(N($F26),$E26))*(1-$I26)))</f>
        <v/>
      </c>
      <c r="U26" s="23" t="str">
        <f aca="false">IF(OR($T26="",$Q26=""),"",1-(1-$T26)^$Q26)</f>
        <v/>
      </c>
      <c r="V26" s="23" t="str">
        <f aca="false">IF($M26&lt;&gt;"",$M26,IF($G26="","",MAX(1,(Setup!$B$6/$G26)^Setup!$B$7)))</f>
        <v/>
      </c>
      <c r="W26" s="22" t="str">
        <f aca="false">IF(COUNT($J26:$L26)&lt;3,"",Setup!$B$10*(6-$J26)+Setup!$B$11*$K26+Setup!$B$12*$L26)</f>
        <v/>
      </c>
      <c r="X26" s="23" t="str">
        <f aca="false">IF($W26="","",IF(LEFT(Setup!$B$15,1)="B",EXP(Setup!$B$14*($W26-1)),1+Setup!$B$14*($W26-1)))</f>
        <v/>
      </c>
      <c r="Y26" s="23" t="str">
        <f aca="false">IF($N26&lt;&gt;"",$N26,$X26)</f>
        <v/>
      </c>
      <c r="Z26" s="22" t="str">
        <f aca="false">IF(OR($H26="",$U26="",$V26=""),"",$H26*$U26*$V26)</f>
        <v/>
      </c>
      <c r="AA26" s="22" t="str">
        <f aca="false">IF(OR($Z26="",$Y26=""),"",$Z26*$Y26)</f>
        <v/>
      </c>
      <c r="AB26" s="1" t="str">
        <f aca="false">IF($A26="","",IF(OR($E26="",$G26="",$H26="",$I26="",AND($N26="",COUNT($J26:$L26)&lt;3)),"Missing: "&amp;IF($E26="","P ","")&amp;IF($G26="","T ","")&amp;IF($H26="","I ","")&amp;IF($I26="","C ","")&amp;IF(AND($N26="",COUNT($J26:$L26)&lt;3),"C_ctrl/C_ext/C_irr",""),IF(N($F26)&gt;$E26,"P_floor &gt; P (floor capped at P)","OK")))</f>
        <v/>
      </c>
      <c r="AC26" s="1" t="str">
        <f aca="false">IF($AA26="","",$AA26+ROW()/1000000)</f>
        <v/>
      </c>
      <c r="AD26" s="18" t="n">
        <f aca="false">IF(AND($A26&lt;&gt;"",ISNUMBER($AA26)),1,0)</f>
        <v>0</v>
      </c>
      <c r="AE26" s="18" t="n">
        <f aca="false">IF($AD26=1,$H26,0)</f>
        <v>0</v>
      </c>
      <c r="AF26" s="18" t="n">
        <f aca="false">IF($AD26=1,$E26,0)</f>
        <v>0</v>
      </c>
      <c r="AG26" s="18" t="n">
        <f aca="false">IF($AD26=1,MIN(N($F26),$E26),0)</f>
        <v>0</v>
      </c>
      <c r="AH26" s="18" t="n">
        <f aca="false">IF($AD26=1,$I26,0)</f>
        <v>0</v>
      </c>
      <c r="AI26" s="18" t="n">
        <f aca="false">IF($AD26=1,$G26,1)</f>
        <v>1</v>
      </c>
      <c r="AJ26" s="18" t="n">
        <f aca="false">IF($AD26=1,$V26,1)</f>
        <v>1</v>
      </c>
      <c r="AK26" s="18" t="n">
        <f aca="false">IF($AD26=1,$Y26,1)</f>
        <v>1</v>
      </c>
    </row>
    <row r="27" customFormat="false" ht="15" hidden="false" customHeight="false" outlineLevel="0" collapsed="false">
      <c r="A27" s="10"/>
      <c r="B27" s="10"/>
      <c r="C27" s="12"/>
      <c r="D27" s="17"/>
      <c r="E27" s="13"/>
      <c r="F27" s="21"/>
      <c r="G27" s="12"/>
      <c r="H27" s="12"/>
      <c r="I27" s="12"/>
      <c r="J27" s="12"/>
      <c r="K27" s="12"/>
      <c r="L27" s="12"/>
      <c r="M27" s="15"/>
      <c r="N27" s="15"/>
      <c r="O27" s="12"/>
      <c r="P27" s="17"/>
      <c r="Q27" s="22" t="str">
        <f aca="false">IF(OR($G27="",Setup!$B$5=""),"",Setup!$B$5/$G27)</f>
        <v/>
      </c>
      <c r="R27" s="23" t="str">
        <f aca="false">IF(OR($E27="",$Q27=""),"",1-(1-$E27)^$Q27)</f>
        <v/>
      </c>
      <c r="S27" s="22" t="str">
        <f aca="false">IF(OR($R27="",$H27=""),"",$H27*$R27)</f>
        <v/>
      </c>
      <c r="T27" s="23" t="str">
        <f aca="false">IF(OR($E27="",$I27=""),"",MIN(1,MIN(N($F27),$E27)+($E27-MIN(N($F27),$E27))*(1-$I27)))</f>
        <v/>
      </c>
      <c r="U27" s="23" t="str">
        <f aca="false">IF(OR($T27="",$Q27=""),"",1-(1-$T27)^$Q27)</f>
        <v/>
      </c>
      <c r="V27" s="23" t="str">
        <f aca="false">IF($M27&lt;&gt;"",$M27,IF($G27="","",MAX(1,(Setup!$B$6/$G27)^Setup!$B$7)))</f>
        <v/>
      </c>
      <c r="W27" s="22" t="str">
        <f aca="false">IF(COUNT($J27:$L27)&lt;3,"",Setup!$B$10*(6-$J27)+Setup!$B$11*$K27+Setup!$B$12*$L27)</f>
        <v/>
      </c>
      <c r="X27" s="23" t="str">
        <f aca="false">IF($W27="","",IF(LEFT(Setup!$B$15,1)="B",EXP(Setup!$B$14*($W27-1)),1+Setup!$B$14*($W27-1)))</f>
        <v/>
      </c>
      <c r="Y27" s="23" t="str">
        <f aca="false">IF($N27&lt;&gt;"",$N27,$X27)</f>
        <v/>
      </c>
      <c r="Z27" s="22" t="str">
        <f aca="false">IF(OR($H27="",$U27="",$V27=""),"",$H27*$U27*$V27)</f>
        <v/>
      </c>
      <c r="AA27" s="22" t="str">
        <f aca="false">IF(OR($Z27="",$Y27=""),"",$Z27*$Y27)</f>
        <v/>
      </c>
      <c r="AB27" s="1" t="str">
        <f aca="false">IF($A27="","",IF(OR($E27="",$G27="",$H27="",$I27="",AND($N27="",COUNT($J27:$L27)&lt;3)),"Missing: "&amp;IF($E27="","P ","")&amp;IF($G27="","T ","")&amp;IF($H27="","I ","")&amp;IF($I27="","C ","")&amp;IF(AND($N27="",COUNT($J27:$L27)&lt;3),"C_ctrl/C_ext/C_irr",""),IF(N($F27)&gt;$E27,"P_floor &gt; P (floor capped at P)","OK")))</f>
        <v/>
      </c>
      <c r="AC27" s="1" t="str">
        <f aca="false">IF($AA27="","",$AA27+ROW()/1000000)</f>
        <v/>
      </c>
      <c r="AD27" s="18" t="n">
        <f aca="false">IF(AND($A27&lt;&gt;"",ISNUMBER($AA27)),1,0)</f>
        <v>0</v>
      </c>
      <c r="AE27" s="18" t="n">
        <f aca="false">IF($AD27=1,$H27,0)</f>
        <v>0</v>
      </c>
      <c r="AF27" s="18" t="n">
        <f aca="false">IF($AD27=1,$E27,0)</f>
        <v>0</v>
      </c>
      <c r="AG27" s="18" t="n">
        <f aca="false">IF($AD27=1,MIN(N($F27),$E27),0)</f>
        <v>0</v>
      </c>
      <c r="AH27" s="18" t="n">
        <f aca="false">IF($AD27=1,$I27,0)</f>
        <v>0</v>
      </c>
      <c r="AI27" s="18" t="n">
        <f aca="false">IF($AD27=1,$G27,1)</f>
        <v>1</v>
      </c>
      <c r="AJ27" s="18" t="n">
        <f aca="false">IF($AD27=1,$V27,1)</f>
        <v>1</v>
      </c>
      <c r="AK27" s="18" t="n">
        <f aca="false">IF($AD27=1,$Y27,1)</f>
        <v>1</v>
      </c>
    </row>
    <row r="28" customFormat="false" ht="15" hidden="false" customHeight="false" outlineLevel="0" collapsed="false">
      <c r="A28" s="10"/>
      <c r="B28" s="10"/>
      <c r="C28" s="12"/>
      <c r="D28" s="17"/>
      <c r="E28" s="13"/>
      <c r="F28" s="21"/>
      <c r="G28" s="12"/>
      <c r="H28" s="12"/>
      <c r="I28" s="12"/>
      <c r="J28" s="12"/>
      <c r="K28" s="12"/>
      <c r="L28" s="12"/>
      <c r="M28" s="15"/>
      <c r="N28" s="15"/>
      <c r="O28" s="12"/>
      <c r="P28" s="17"/>
      <c r="Q28" s="22" t="str">
        <f aca="false">IF(OR($G28="",Setup!$B$5=""),"",Setup!$B$5/$G28)</f>
        <v/>
      </c>
      <c r="R28" s="23" t="str">
        <f aca="false">IF(OR($E28="",$Q28=""),"",1-(1-$E28)^$Q28)</f>
        <v/>
      </c>
      <c r="S28" s="22" t="str">
        <f aca="false">IF(OR($R28="",$H28=""),"",$H28*$R28)</f>
        <v/>
      </c>
      <c r="T28" s="23" t="str">
        <f aca="false">IF(OR($E28="",$I28=""),"",MIN(1,MIN(N($F28),$E28)+($E28-MIN(N($F28),$E28))*(1-$I28)))</f>
        <v/>
      </c>
      <c r="U28" s="23" t="str">
        <f aca="false">IF(OR($T28="",$Q28=""),"",1-(1-$T28)^$Q28)</f>
        <v/>
      </c>
      <c r="V28" s="23" t="str">
        <f aca="false">IF($M28&lt;&gt;"",$M28,IF($G28="","",MAX(1,(Setup!$B$6/$G28)^Setup!$B$7)))</f>
        <v/>
      </c>
      <c r="W28" s="22" t="str">
        <f aca="false">IF(COUNT($J28:$L28)&lt;3,"",Setup!$B$10*(6-$J28)+Setup!$B$11*$K28+Setup!$B$12*$L28)</f>
        <v/>
      </c>
      <c r="X28" s="23" t="str">
        <f aca="false">IF($W28="","",IF(LEFT(Setup!$B$15,1)="B",EXP(Setup!$B$14*($W28-1)),1+Setup!$B$14*($W28-1)))</f>
        <v/>
      </c>
      <c r="Y28" s="23" t="str">
        <f aca="false">IF($N28&lt;&gt;"",$N28,$X28)</f>
        <v/>
      </c>
      <c r="Z28" s="22" t="str">
        <f aca="false">IF(OR($H28="",$U28="",$V28=""),"",$H28*$U28*$V28)</f>
        <v/>
      </c>
      <c r="AA28" s="22" t="str">
        <f aca="false">IF(OR($Z28="",$Y28=""),"",$Z28*$Y28)</f>
        <v/>
      </c>
      <c r="AB28" s="1" t="str">
        <f aca="false">IF($A28="","",IF(OR($E28="",$G28="",$H28="",$I28="",AND($N28="",COUNT($J28:$L28)&lt;3)),"Missing: "&amp;IF($E28="","P ","")&amp;IF($G28="","T ","")&amp;IF($H28="","I ","")&amp;IF($I28="","C ","")&amp;IF(AND($N28="",COUNT($J28:$L28)&lt;3),"C_ctrl/C_ext/C_irr",""),IF(N($F28)&gt;$E28,"P_floor &gt; P (floor capped at P)","OK")))</f>
        <v/>
      </c>
      <c r="AC28" s="1" t="str">
        <f aca="false">IF($AA28="","",$AA28+ROW()/1000000)</f>
        <v/>
      </c>
      <c r="AD28" s="18" t="n">
        <f aca="false">IF(AND($A28&lt;&gt;"",ISNUMBER($AA28)),1,0)</f>
        <v>0</v>
      </c>
      <c r="AE28" s="18" t="n">
        <f aca="false">IF($AD28=1,$H28,0)</f>
        <v>0</v>
      </c>
      <c r="AF28" s="18" t="n">
        <f aca="false">IF($AD28=1,$E28,0)</f>
        <v>0</v>
      </c>
      <c r="AG28" s="18" t="n">
        <f aca="false">IF($AD28=1,MIN(N($F28),$E28),0)</f>
        <v>0</v>
      </c>
      <c r="AH28" s="18" t="n">
        <f aca="false">IF($AD28=1,$I28,0)</f>
        <v>0</v>
      </c>
      <c r="AI28" s="18" t="n">
        <f aca="false">IF($AD28=1,$G28,1)</f>
        <v>1</v>
      </c>
      <c r="AJ28" s="18" t="n">
        <f aca="false">IF($AD28=1,$V28,1)</f>
        <v>1</v>
      </c>
      <c r="AK28" s="18" t="n">
        <f aca="false">IF($AD28=1,$Y28,1)</f>
        <v>1</v>
      </c>
    </row>
    <row r="29" customFormat="false" ht="15" hidden="false" customHeight="false" outlineLevel="0" collapsed="false">
      <c r="A29" s="10"/>
      <c r="B29" s="10"/>
      <c r="C29" s="12"/>
      <c r="D29" s="17"/>
      <c r="E29" s="13"/>
      <c r="F29" s="21"/>
      <c r="G29" s="12"/>
      <c r="H29" s="12"/>
      <c r="I29" s="12"/>
      <c r="J29" s="12"/>
      <c r="K29" s="12"/>
      <c r="L29" s="12"/>
      <c r="M29" s="15"/>
      <c r="N29" s="15"/>
      <c r="O29" s="12"/>
      <c r="P29" s="17"/>
      <c r="Q29" s="22" t="str">
        <f aca="false">IF(OR($G29="",Setup!$B$5=""),"",Setup!$B$5/$G29)</f>
        <v/>
      </c>
      <c r="R29" s="23" t="str">
        <f aca="false">IF(OR($E29="",$Q29=""),"",1-(1-$E29)^$Q29)</f>
        <v/>
      </c>
      <c r="S29" s="22" t="str">
        <f aca="false">IF(OR($R29="",$H29=""),"",$H29*$R29)</f>
        <v/>
      </c>
      <c r="T29" s="23" t="str">
        <f aca="false">IF(OR($E29="",$I29=""),"",MIN(1,MIN(N($F29),$E29)+($E29-MIN(N($F29),$E29))*(1-$I29)))</f>
        <v/>
      </c>
      <c r="U29" s="23" t="str">
        <f aca="false">IF(OR($T29="",$Q29=""),"",1-(1-$T29)^$Q29)</f>
        <v/>
      </c>
      <c r="V29" s="23" t="str">
        <f aca="false">IF($M29&lt;&gt;"",$M29,IF($G29="","",MAX(1,(Setup!$B$6/$G29)^Setup!$B$7)))</f>
        <v/>
      </c>
      <c r="W29" s="22" t="str">
        <f aca="false">IF(COUNT($J29:$L29)&lt;3,"",Setup!$B$10*(6-$J29)+Setup!$B$11*$K29+Setup!$B$12*$L29)</f>
        <v/>
      </c>
      <c r="X29" s="23" t="str">
        <f aca="false">IF($W29="","",IF(LEFT(Setup!$B$15,1)="B",EXP(Setup!$B$14*($W29-1)),1+Setup!$B$14*($W29-1)))</f>
        <v/>
      </c>
      <c r="Y29" s="23" t="str">
        <f aca="false">IF($N29&lt;&gt;"",$N29,$X29)</f>
        <v/>
      </c>
      <c r="Z29" s="22" t="str">
        <f aca="false">IF(OR($H29="",$U29="",$V29=""),"",$H29*$U29*$V29)</f>
        <v/>
      </c>
      <c r="AA29" s="22" t="str">
        <f aca="false">IF(OR($Z29="",$Y29=""),"",$Z29*$Y29)</f>
        <v/>
      </c>
      <c r="AB29" s="1" t="str">
        <f aca="false">IF($A29="","",IF(OR($E29="",$G29="",$H29="",$I29="",AND($N29="",COUNT($J29:$L29)&lt;3)),"Missing: "&amp;IF($E29="","P ","")&amp;IF($G29="","T ","")&amp;IF($H29="","I ","")&amp;IF($I29="","C ","")&amp;IF(AND($N29="",COUNT($J29:$L29)&lt;3),"C_ctrl/C_ext/C_irr",""),IF(N($F29)&gt;$E29,"P_floor &gt; P (floor capped at P)","OK")))</f>
        <v/>
      </c>
      <c r="AC29" s="1" t="str">
        <f aca="false">IF($AA29="","",$AA29+ROW()/1000000)</f>
        <v/>
      </c>
      <c r="AD29" s="18" t="n">
        <f aca="false">IF(AND($A29&lt;&gt;"",ISNUMBER($AA29)),1,0)</f>
        <v>0</v>
      </c>
      <c r="AE29" s="18" t="n">
        <f aca="false">IF($AD29=1,$H29,0)</f>
        <v>0</v>
      </c>
      <c r="AF29" s="18" t="n">
        <f aca="false">IF($AD29=1,$E29,0)</f>
        <v>0</v>
      </c>
      <c r="AG29" s="18" t="n">
        <f aca="false">IF($AD29=1,MIN(N($F29),$E29),0)</f>
        <v>0</v>
      </c>
      <c r="AH29" s="18" t="n">
        <f aca="false">IF($AD29=1,$I29,0)</f>
        <v>0</v>
      </c>
      <c r="AI29" s="18" t="n">
        <f aca="false">IF($AD29=1,$G29,1)</f>
        <v>1</v>
      </c>
      <c r="AJ29" s="18" t="n">
        <f aca="false">IF($AD29=1,$V29,1)</f>
        <v>1</v>
      </c>
      <c r="AK29" s="18" t="n">
        <f aca="false">IF($AD29=1,$Y29,1)</f>
        <v>1</v>
      </c>
    </row>
    <row r="30" customFormat="false" ht="15" hidden="false" customHeight="false" outlineLevel="0" collapsed="false">
      <c r="A30" s="10"/>
      <c r="B30" s="10"/>
      <c r="C30" s="12"/>
      <c r="D30" s="17"/>
      <c r="E30" s="13"/>
      <c r="F30" s="21"/>
      <c r="G30" s="12"/>
      <c r="H30" s="12"/>
      <c r="I30" s="12"/>
      <c r="J30" s="12"/>
      <c r="K30" s="12"/>
      <c r="L30" s="12"/>
      <c r="M30" s="15"/>
      <c r="N30" s="15"/>
      <c r="O30" s="12"/>
      <c r="P30" s="17"/>
      <c r="Q30" s="22" t="str">
        <f aca="false">IF(OR($G30="",Setup!$B$5=""),"",Setup!$B$5/$G30)</f>
        <v/>
      </c>
      <c r="R30" s="23" t="str">
        <f aca="false">IF(OR($E30="",$Q30=""),"",1-(1-$E30)^$Q30)</f>
        <v/>
      </c>
      <c r="S30" s="22" t="str">
        <f aca="false">IF(OR($R30="",$H30=""),"",$H30*$R30)</f>
        <v/>
      </c>
      <c r="T30" s="23" t="str">
        <f aca="false">IF(OR($E30="",$I30=""),"",MIN(1,MIN(N($F30),$E30)+($E30-MIN(N($F30),$E30))*(1-$I30)))</f>
        <v/>
      </c>
      <c r="U30" s="23" t="str">
        <f aca="false">IF(OR($T30="",$Q30=""),"",1-(1-$T30)^$Q30)</f>
        <v/>
      </c>
      <c r="V30" s="23" t="str">
        <f aca="false">IF($M30&lt;&gt;"",$M30,IF($G30="","",MAX(1,(Setup!$B$6/$G30)^Setup!$B$7)))</f>
        <v/>
      </c>
      <c r="W30" s="22" t="str">
        <f aca="false">IF(COUNT($J30:$L30)&lt;3,"",Setup!$B$10*(6-$J30)+Setup!$B$11*$K30+Setup!$B$12*$L30)</f>
        <v/>
      </c>
      <c r="X30" s="23" t="str">
        <f aca="false">IF($W30="","",IF(LEFT(Setup!$B$15,1)="B",EXP(Setup!$B$14*($W30-1)),1+Setup!$B$14*($W30-1)))</f>
        <v/>
      </c>
      <c r="Y30" s="23" t="str">
        <f aca="false">IF($N30&lt;&gt;"",$N30,$X30)</f>
        <v/>
      </c>
      <c r="Z30" s="22" t="str">
        <f aca="false">IF(OR($H30="",$U30="",$V30=""),"",$H30*$U30*$V30)</f>
        <v/>
      </c>
      <c r="AA30" s="22" t="str">
        <f aca="false">IF(OR($Z30="",$Y30=""),"",$Z30*$Y30)</f>
        <v/>
      </c>
      <c r="AB30" s="1" t="str">
        <f aca="false">IF($A30="","",IF(OR($E30="",$G30="",$H30="",$I30="",AND($N30="",COUNT($J30:$L30)&lt;3)),"Missing: "&amp;IF($E30="","P ","")&amp;IF($G30="","T ","")&amp;IF($H30="","I ","")&amp;IF($I30="","C ","")&amp;IF(AND($N30="",COUNT($J30:$L30)&lt;3),"C_ctrl/C_ext/C_irr",""),IF(N($F30)&gt;$E30,"P_floor &gt; P (floor capped at P)","OK")))</f>
        <v/>
      </c>
      <c r="AC30" s="1" t="str">
        <f aca="false">IF($AA30="","",$AA30+ROW()/1000000)</f>
        <v/>
      </c>
      <c r="AD30" s="18" t="n">
        <f aca="false">IF(AND($A30&lt;&gt;"",ISNUMBER($AA30)),1,0)</f>
        <v>0</v>
      </c>
      <c r="AE30" s="18" t="n">
        <f aca="false">IF($AD30=1,$H30,0)</f>
        <v>0</v>
      </c>
      <c r="AF30" s="18" t="n">
        <f aca="false">IF($AD30=1,$E30,0)</f>
        <v>0</v>
      </c>
      <c r="AG30" s="18" t="n">
        <f aca="false">IF($AD30=1,MIN(N($F30),$E30),0)</f>
        <v>0</v>
      </c>
      <c r="AH30" s="18" t="n">
        <f aca="false">IF($AD30=1,$I30,0)</f>
        <v>0</v>
      </c>
      <c r="AI30" s="18" t="n">
        <f aca="false">IF($AD30=1,$G30,1)</f>
        <v>1</v>
      </c>
      <c r="AJ30" s="18" t="n">
        <f aca="false">IF($AD30=1,$V30,1)</f>
        <v>1</v>
      </c>
      <c r="AK30" s="18" t="n">
        <f aca="false">IF($AD30=1,$Y30,1)</f>
        <v>1</v>
      </c>
    </row>
    <row r="31" customFormat="false" ht="15" hidden="false" customHeight="false" outlineLevel="0" collapsed="false">
      <c r="A31" s="10"/>
      <c r="B31" s="10"/>
      <c r="C31" s="12"/>
      <c r="D31" s="17"/>
      <c r="E31" s="13"/>
      <c r="F31" s="21"/>
      <c r="G31" s="12"/>
      <c r="H31" s="12"/>
      <c r="I31" s="12"/>
      <c r="J31" s="12"/>
      <c r="K31" s="12"/>
      <c r="L31" s="12"/>
      <c r="M31" s="15"/>
      <c r="N31" s="15"/>
      <c r="O31" s="12"/>
      <c r="P31" s="17"/>
      <c r="Q31" s="22" t="str">
        <f aca="false">IF(OR($G31="",Setup!$B$5=""),"",Setup!$B$5/$G31)</f>
        <v/>
      </c>
      <c r="R31" s="23" t="str">
        <f aca="false">IF(OR($E31="",$Q31=""),"",1-(1-$E31)^$Q31)</f>
        <v/>
      </c>
      <c r="S31" s="22" t="str">
        <f aca="false">IF(OR($R31="",$H31=""),"",$H31*$R31)</f>
        <v/>
      </c>
      <c r="T31" s="23" t="str">
        <f aca="false">IF(OR($E31="",$I31=""),"",MIN(1,MIN(N($F31),$E31)+($E31-MIN(N($F31),$E31))*(1-$I31)))</f>
        <v/>
      </c>
      <c r="U31" s="23" t="str">
        <f aca="false">IF(OR($T31="",$Q31=""),"",1-(1-$T31)^$Q31)</f>
        <v/>
      </c>
      <c r="V31" s="23" t="str">
        <f aca="false">IF($M31&lt;&gt;"",$M31,IF($G31="","",MAX(1,(Setup!$B$6/$G31)^Setup!$B$7)))</f>
        <v/>
      </c>
      <c r="W31" s="22" t="str">
        <f aca="false">IF(COUNT($J31:$L31)&lt;3,"",Setup!$B$10*(6-$J31)+Setup!$B$11*$K31+Setup!$B$12*$L31)</f>
        <v/>
      </c>
      <c r="X31" s="23" t="str">
        <f aca="false">IF($W31="","",IF(LEFT(Setup!$B$15,1)="B",EXP(Setup!$B$14*($W31-1)),1+Setup!$B$14*($W31-1)))</f>
        <v/>
      </c>
      <c r="Y31" s="23" t="str">
        <f aca="false">IF($N31&lt;&gt;"",$N31,$X31)</f>
        <v/>
      </c>
      <c r="Z31" s="22" t="str">
        <f aca="false">IF(OR($H31="",$U31="",$V31=""),"",$H31*$U31*$V31)</f>
        <v/>
      </c>
      <c r="AA31" s="22" t="str">
        <f aca="false">IF(OR($Z31="",$Y31=""),"",$Z31*$Y31)</f>
        <v/>
      </c>
      <c r="AB31" s="1" t="str">
        <f aca="false">IF($A31="","",IF(OR($E31="",$G31="",$H31="",$I31="",AND($N31="",COUNT($J31:$L31)&lt;3)),"Missing: "&amp;IF($E31="","P ","")&amp;IF($G31="","T ","")&amp;IF($H31="","I ","")&amp;IF($I31="","C ","")&amp;IF(AND($N31="",COUNT($J31:$L31)&lt;3),"C_ctrl/C_ext/C_irr",""),IF(N($F31)&gt;$E31,"P_floor &gt; P (floor capped at P)","OK")))</f>
        <v/>
      </c>
      <c r="AC31" s="1" t="str">
        <f aca="false">IF($AA31="","",$AA31+ROW()/1000000)</f>
        <v/>
      </c>
      <c r="AD31" s="18" t="n">
        <f aca="false">IF(AND($A31&lt;&gt;"",ISNUMBER($AA31)),1,0)</f>
        <v>0</v>
      </c>
      <c r="AE31" s="18" t="n">
        <f aca="false">IF($AD31=1,$H31,0)</f>
        <v>0</v>
      </c>
      <c r="AF31" s="18" t="n">
        <f aca="false">IF($AD31=1,$E31,0)</f>
        <v>0</v>
      </c>
      <c r="AG31" s="18" t="n">
        <f aca="false">IF($AD31=1,MIN(N($F31),$E31),0)</f>
        <v>0</v>
      </c>
      <c r="AH31" s="18" t="n">
        <f aca="false">IF($AD31=1,$I31,0)</f>
        <v>0</v>
      </c>
      <c r="AI31" s="18" t="n">
        <f aca="false">IF($AD31=1,$G31,1)</f>
        <v>1</v>
      </c>
      <c r="AJ31" s="18" t="n">
        <f aca="false">IF($AD31=1,$V31,1)</f>
        <v>1</v>
      </c>
      <c r="AK31" s="18" t="n">
        <f aca="false">IF($AD31=1,$Y31,1)</f>
        <v>1</v>
      </c>
    </row>
    <row r="32" customFormat="false" ht="15" hidden="false" customHeight="false" outlineLevel="0" collapsed="false">
      <c r="A32" s="10"/>
      <c r="B32" s="10"/>
      <c r="C32" s="12"/>
      <c r="D32" s="17"/>
      <c r="E32" s="13"/>
      <c r="F32" s="21"/>
      <c r="G32" s="12"/>
      <c r="H32" s="12"/>
      <c r="I32" s="12"/>
      <c r="J32" s="12"/>
      <c r="K32" s="12"/>
      <c r="L32" s="12"/>
      <c r="M32" s="15"/>
      <c r="N32" s="15"/>
      <c r="O32" s="12"/>
      <c r="P32" s="17"/>
      <c r="Q32" s="22" t="str">
        <f aca="false">IF(OR($G32="",Setup!$B$5=""),"",Setup!$B$5/$G32)</f>
        <v/>
      </c>
      <c r="R32" s="23" t="str">
        <f aca="false">IF(OR($E32="",$Q32=""),"",1-(1-$E32)^$Q32)</f>
        <v/>
      </c>
      <c r="S32" s="22" t="str">
        <f aca="false">IF(OR($R32="",$H32=""),"",$H32*$R32)</f>
        <v/>
      </c>
      <c r="T32" s="23" t="str">
        <f aca="false">IF(OR($E32="",$I32=""),"",MIN(1,MIN(N($F32),$E32)+($E32-MIN(N($F32),$E32))*(1-$I32)))</f>
        <v/>
      </c>
      <c r="U32" s="23" t="str">
        <f aca="false">IF(OR($T32="",$Q32=""),"",1-(1-$T32)^$Q32)</f>
        <v/>
      </c>
      <c r="V32" s="23" t="str">
        <f aca="false">IF($M32&lt;&gt;"",$M32,IF($G32="","",MAX(1,(Setup!$B$6/$G32)^Setup!$B$7)))</f>
        <v/>
      </c>
      <c r="W32" s="22" t="str">
        <f aca="false">IF(COUNT($J32:$L32)&lt;3,"",Setup!$B$10*(6-$J32)+Setup!$B$11*$K32+Setup!$B$12*$L32)</f>
        <v/>
      </c>
      <c r="X32" s="23" t="str">
        <f aca="false">IF($W32="","",IF(LEFT(Setup!$B$15,1)="B",EXP(Setup!$B$14*($W32-1)),1+Setup!$B$14*($W32-1)))</f>
        <v/>
      </c>
      <c r="Y32" s="23" t="str">
        <f aca="false">IF($N32&lt;&gt;"",$N32,$X32)</f>
        <v/>
      </c>
      <c r="Z32" s="22" t="str">
        <f aca="false">IF(OR($H32="",$U32="",$V32=""),"",$H32*$U32*$V32)</f>
        <v/>
      </c>
      <c r="AA32" s="22" t="str">
        <f aca="false">IF(OR($Z32="",$Y32=""),"",$Z32*$Y32)</f>
        <v/>
      </c>
      <c r="AB32" s="1" t="str">
        <f aca="false">IF($A32="","",IF(OR($E32="",$G32="",$H32="",$I32="",AND($N32="",COUNT($J32:$L32)&lt;3)),"Missing: "&amp;IF($E32="","P ","")&amp;IF($G32="","T ","")&amp;IF($H32="","I ","")&amp;IF($I32="","C ","")&amp;IF(AND($N32="",COUNT($J32:$L32)&lt;3),"C_ctrl/C_ext/C_irr",""),IF(N($F32)&gt;$E32,"P_floor &gt; P (floor capped at P)","OK")))</f>
        <v/>
      </c>
      <c r="AC32" s="1" t="str">
        <f aca="false">IF($AA32="","",$AA32+ROW()/1000000)</f>
        <v/>
      </c>
      <c r="AD32" s="18" t="n">
        <f aca="false">IF(AND($A32&lt;&gt;"",ISNUMBER($AA32)),1,0)</f>
        <v>0</v>
      </c>
      <c r="AE32" s="18" t="n">
        <f aca="false">IF($AD32=1,$H32,0)</f>
        <v>0</v>
      </c>
      <c r="AF32" s="18" t="n">
        <f aca="false">IF($AD32=1,$E32,0)</f>
        <v>0</v>
      </c>
      <c r="AG32" s="18" t="n">
        <f aca="false">IF($AD32=1,MIN(N($F32),$E32),0)</f>
        <v>0</v>
      </c>
      <c r="AH32" s="18" t="n">
        <f aca="false">IF($AD32=1,$I32,0)</f>
        <v>0</v>
      </c>
      <c r="AI32" s="18" t="n">
        <f aca="false">IF($AD32=1,$G32,1)</f>
        <v>1</v>
      </c>
      <c r="AJ32" s="18" t="n">
        <f aca="false">IF($AD32=1,$V32,1)</f>
        <v>1</v>
      </c>
      <c r="AK32" s="18" t="n">
        <f aca="false">IF($AD32=1,$Y32,1)</f>
        <v>1</v>
      </c>
    </row>
    <row r="33" customFormat="false" ht="15" hidden="false" customHeight="false" outlineLevel="0" collapsed="false">
      <c r="A33" s="10"/>
      <c r="B33" s="10"/>
      <c r="C33" s="12"/>
      <c r="D33" s="17"/>
      <c r="E33" s="13"/>
      <c r="F33" s="21"/>
      <c r="G33" s="12"/>
      <c r="H33" s="12"/>
      <c r="I33" s="12"/>
      <c r="J33" s="12"/>
      <c r="K33" s="12"/>
      <c r="L33" s="12"/>
      <c r="M33" s="15"/>
      <c r="N33" s="15"/>
      <c r="O33" s="12"/>
      <c r="P33" s="17"/>
      <c r="Q33" s="22" t="str">
        <f aca="false">IF(OR($G33="",Setup!$B$5=""),"",Setup!$B$5/$G33)</f>
        <v/>
      </c>
      <c r="R33" s="23" t="str">
        <f aca="false">IF(OR($E33="",$Q33=""),"",1-(1-$E33)^$Q33)</f>
        <v/>
      </c>
      <c r="S33" s="22" t="str">
        <f aca="false">IF(OR($R33="",$H33=""),"",$H33*$R33)</f>
        <v/>
      </c>
      <c r="T33" s="23" t="str">
        <f aca="false">IF(OR($E33="",$I33=""),"",MIN(1,MIN(N($F33),$E33)+($E33-MIN(N($F33),$E33))*(1-$I33)))</f>
        <v/>
      </c>
      <c r="U33" s="23" t="str">
        <f aca="false">IF(OR($T33="",$Q33=""),"",1-(1-$T33)^$Q33)</f>
        <v/>
      </c>
      <c r="V33" s="23" t="str">
        <f aca="false">IF($M33&lt;&gt;"",$M33,IF($G33="","",MAX(1,(Setup!$B$6/$G33)^Setup!$B$7)))</f>
        <v/>
      </c>
      <c r="W33" s="22" t="str">
        <f aca="false">IF(COUNT($J33:$L33)&lt;3,"",Setup!$B$10*(6-$J33)+Setup!$B$11*$K33+Setup!$B$12*$L33)</f>
        <v/>
      </c>
      <c r="X33" s="23" t="str">
        <f aca="false">IF($W33="","",IF(LEFT(Setup!$B$15,1)="B",EXP(Setup!$B$14*($W33-1)),1+Setup!$B$14*($W33-1)))</f>
        <v/>
      </c>
      <c r="Y33" s="23" t="str">
        <f aca="false">IF($N33&lt;&gt;"",$N33,$X33)</f>
        <v/>
      </c>
      <c r="Z33" s="22" t="str">
        <f aca="false">IF(OR($H33="",$U33="",$V33=""),"",$H33*$U33*$V33)</f>
        <v/>
      </c>
      <c r="AA33" s="22" t="str">
        <f aca="false">IF(OR($Z33="",$Y33=""),"",$Z33*$Y33)</f>
        <v/>
      </c>
      <c r="AB33" s="1" t="str">
        <f aca="false">IF($A33="","",IF(OR($E33="",$G33="",$H33="",$I33="",AND($N33="",COUNT($J33:$L33)&lt;3)),"Missing: "&amp;IF($E33="","P ","")&amp;IF($G33="","T ","")&amp;IF($H33="","I ","")&amp;IF($I33="","C ","")&amp;IF(AND($N33="",COUNT($J33:$L33)&lt;3),"C_ctrl/C_ext/C_irr",""),IF(N($F33)&gt;$E33,"P_floor &gt; P (floor capped at P)","OK")))</f>
        <v/>
      </c>
      <c r="AC33" s="1" t="str">
        <f aca="false">IF($AA33="","",$AA33+ROW()/1000000)</f>
        <v/>
      </c>
      <c r="AD33" s="18" t="n">
        <f aca="false">IF(AND($A33&lt;&gt;"",ISNUMBER($AA33)),1,0)</f>
        <v>0</v>
      </c>
      <c r="AE33" s="18" t="n">
        <f aca="false">IF($AD33=1,$H33,0)</f>
        <v>0</v>
      </c>
      <c r="AF33" s="18" t="n">
        <f aca="false">IF($AD33=1,$E33,0)</f>
        <v>0</v>
      </c>
      <c r="AG33" s="18" t="n">
        <f aca="false">IF($AD33=1,MIN(N($F33),$E33),0)</f>
        <v>0</v>
      </c>
      <c r="AH33" s="18" t="n">
        <f aca="false">IF($AD33=1,$I33,0)</f>
        <v>0</v>
      </c>
      <c r="AI33" s="18" t="n">
        <f aca="false">IF($AD33=1,$G33,1)</f>
        <v>1</v>
      </c>
      <c r="AJ33" s="18" t="n">
        <f aca="false">IF($AD33=1,$V33,1)</f>
        <v>1</v>
      </c>
      <c r="AK33" s="18" t="n">
        <f aca="false">IF($AD33=1,$Y33,1)</f>
        <v>1</v>
      </c>
    </row>
    <row r="34" customFormat="false" ht="15" hidden="false" customHeight="false" outlineLevel="0" collapsed="false">
      <c r="A34" s="10"/>
      <c r="B34" s="10"/>
      <c r="C34" s="12"/>
      <c r="D34" s="17"/>
      <c r="E34" s="13"/>
      <c r="F34" s="21"/>
      <c r="G34" s="12"/>
      <c r="H34" s="12"/>
      <c r="I34" s="12"/>
      <c r="J34" s="12"/>
      <c r="K34" s="12"/>
      <c r="L34" s="12"/>
      <c r="M34" s="15"/>
      <c r="N34" s="15"/>
      <c r="O34" s="12"/>
      <c r="P34" s="17"/>
      <c r="Q34" s="22" t="str">
        <f aca="false">IF(OR($G34="",Setup!$B$5=""),"",Setup!$B$5/$G34)</f>
        <v/>
      </c>
      <c r="R34" s="23" t="str">
        <f aca="false">IF(OR($E34="",$Q34=""),"",1-(1-$E34)^$Q34)</f>
        <v/>
      </c>
      <c r="S34" s="22" t="str">
        <f aca="false">IF(OR($R34="",$H34=""),"",$H34*$R34)</f>
        <v/>
      </c>
      <c r="T34" s="23" t="str">
        <f aca="false">IF(OR($E34="",$I34=""),"",MIN(1,MIN(N($F34),$E34)+($E34-MIN(N($F34),$E34))*(1-$I34)))</f>
        <v/>
      </c>
      <c r="U34" s="23" t="str">
        <f aca="false">IF(OR($T34="",$Q34=""),"",1-(1-$T34)^$Q34)</f>
        <v/>
      </c>
      <c r="V34" s="23" t="str">
        <f aca="false">IF($M34&lt;&gt;"",$M34,IF($G34="","",MAX(1,(Setup!$B$6/$G34)^Setup!$B$7)))</f>
        <v/>
      </c>
      <c r="W34" s="22" t="str">
        <f aca="false">IF(COUNT($J34:$L34)&lt;3,"",Setup!$B$10*(6-$J34)+Setup!$B$11*$K34+Setup!$B$12*$L34)</f>
        <v/>
      </c>
      <c r="X34" s="23" t="str">
        <f aca="false">IF($W34="","",IF(LEFT(Setup!$B$15,1)="B",EXP(Setup!$B$14*($W34-1)),1+Setup!$B$14*($W34-1)))</f>
        <v/>
      </c>
      <c r="Y34" s="23" t="str">
        <f aca="false">IF($N34&lt;&gt;"",$N34,$X34)</f>
        <v/>
      </c>
      <c r="Z34" s="22" t="str">
        <f aca="false">IF(OR($H34="",$U34="",$V34=""),"",$H34*$U34*$V34)</f>
        <v/>
      </c>
      <c r="AA34" s="22" t="str">
        <f aca="false">IF(OR($Z34="",$Y34=""),"",$Z34*$Y34)</f>
        <v/>
      </c>
      <c r="AB34" s="1" t="str">
        <f aca="false">IF($A34="","",IF(OR($E34="",$G34="",$H34="",$I34="",AND($N34="",COUNT($J34:$L34)&lt;3)),"Missing: "&amp;IF($E34="","P ","")&amp;IF($G34="","T ","")&amp;IF($H34="","I ","")&amp;IF($I34="","C ","")&amp;IF(AND($N34="",COUNT($J34:$L34)&lt;3),"C_ctrl/C_ext/C_irr",""),IF(N($F34)&gt;$E34,"P_floor &gt; P (floor capped at P)","OK")))</f>
        <v/>
      </c>
      <c r="AC34" s="1" t="str">
        <f aca="false">IF($AA34="","",$AA34+ROW()/1000000)</f>
        <v/>
      </c>
      <c r="AD34" s="18" t="n">
        <f aca="false">IF(AND($A34&lt;&gt;"",ISNUMBER($AA34)),1,0)</f>
        <v>0</v>
      </c>
      <c r="AE34" s="18" t="n">
        <f aca="false">IF($AD34=1,$H34,0)</f>
        <v>0</v>
      </c>
      <c r="AF34" s="18" t="n">
        <f aca="false">IF($AD34=1,$E34,0)</f>
        <v>0</v>
      </c>
      <c r="AG34" s="18" t="n">
        <f aca="false">IF($AD34=1,MIN(N($F34),$E34),0)</f>
        <v>0</v>
      </c>
      <c r="AH34" s="18" t="n">
        <f aca="false">IF($AD34=1,$I34,0)</f>
        <v>0</v>
      </c>
      <c r="AI34" s="18" t="n">
        <f aca="false">IF($AD34=1,$G34,1)</f>
        <v>1</v>
      </c>
      <c r="AJ34" s="18" t="n">
        <f aca="false">IF($AD34=1,$V34,1)</f>
        <v>1</v>
      </c>
      <c r="AK34" s="18" t="n">
        <f aca="false">IF($AD34=1,$Y34,1)</f>
        <v>1</v>
      </c>
    </row>
    <row r="35" customFormat="false" ht="15" hidden="false" customHeight="false" outlineLevel="0" collapsed="false">
      <c r="A35" s="10"/>
      <c r="B35" s="10"/>
      <c r="C35" s="12"/>
      <c r="D35" s="17"/>
      <c r="E35" s="13"/>
      <c r="F35" s="21"/>
      <c r="G35" s="12"/>
      <c r="H35" s="12"/>
      <c r="I35" s="12"/>
      <c r="J35" s="12"/>
      <c r="K35" s="12"/>
      <c r="L35" s="12"/>
      <c r="M35" s="15"/>
      <c r="N35" s="15"/>
      <c r="O35" s="12"/>
      <c r="P35" s="17"/>
      <c r="Q35" s="22" t="str">
        <f aca="false">IF(OR($G35="",Setup!$B$5=""),"",Setup!$B$5/$G35)</f>
        <v/>
      </c>
      <c r="R35" s="23" t="str">
        <f aca="false">IF(OR($E35="",$Q35=""),"",1-(1-$E35)^$Q35)</f>
        <v/>
      </c>
      <c r="S35" s="22" t="str">
        <f aca="false">IF(OR($R35="",$H35=""),"",$H35*$R35)</f>
        <v/>
      </c>
      <c r="T35" s="23" t="str">
        <f aca="false">IF(OR($E35="",$I35=""),"",MIN(1,MIN(N($F35),$E35)+($E35-MIN(N($F35),$E35))*(1-$I35)))</f>
        <v/>
      </c>
      <c r="U35" s="23" t="str">
        <f aca="false">IF(OR($T35="",$Q35=""),"",1-(1-$T35)^$Q35)</f>
        <v/>
      </c>
      <c r="V35" s="23" t="str">
        <f aca="false">IF($M35&lt;&gt;"",$M35,IF($G35="","",MAX(1,(Setup!$B$6/$G35)^Setup!$B$7)))</f>
        <v/>
      </c>
      <c r="W35" s="22" t="str">
        <f aca="false">IF(COUNT($J35:$L35)&lt;3,"",Setup!$B$10*(6-$J35)+Setup!$B$11*$K35+Setup!$B$12*$L35)</f>
        <v/>
      </c>
      <c r="X35" s="23" t="str">
        <f aca="false">IF($W35="","",IF(LEFT(Setup!$B$15,1)="B",EXP(Setup!$B$14*($W35-1)),1+Setup!$B$14*($W35-1)))</f>
        <v/>
      </c>
      <c r="Y35" s="23" t="str">
        <f aca="false">IF($N35&lt;&gt;"",$N35,$X35)</f>
        <v/>
      </c>
      <c r="Z35" s="22" t="str">
        <f aca="false">IF(OR($H35="",$U35="",$V35=""),"",$H35*$U35*$V35)</f>
        <v/>
      </c>
      <c r="AA35" s="22" t="str">
        <f aca="false">IF(OR($Z35="",$Y35=""),"",$Z35*$Y35)</f>
        <v/>
      </c>
      <c r="AB35" s="1" t="str">
        <f aca="false">IF($A35="","",IF(OR($E35="",$G35="",$H35="",$I35="",AND($N35="",COUNT($J35:$L35)&lt;3)),"Missing: "&amp;IF($E35="","P ","")&amp;IF($G35="","T ","")&amp;IF($H35="","I ","")&amp;IF($I35="","C ","")&amp;IF(AND($N35="",COUNT($J35:$L35)&lt;3),"C_ctrl/C_ext/C_irr",""),IF(N($F35)&gt;$E35,"P_floor &gt; P (floor capped at P)","OK")))</f>
        <v/>
      </c>
      <c r="AC35" s="1" t="str">
        <f aca="false">IF($AA35="","",$AA35+ROW()/1000000)</f>
        <v/>
      </c>
      <c r="AD35" s="18" t="n">
        <f aca="false">IF(AND($A35&lt;&gt;"",ISNUMBER($AA35)),1,0)</f>
        <v>0</v>
      </c>
      <c r="AE35" s="18" t="n">
        <f aca="false">IF($AD35=1,$H35,0)</f>
        <v>0</v>
      </c>
      <c r="AF35" s="18" t="n">
        <f aca="false">IF($AD35=1,$E35,0)</f>
        <v>0</v>
      </c>
      <c r="AG35" s="18" t="n">
        <f aca="false">IF($AD35=1,MIN(N($F35),$E35),0)</f>
        <v>0</v>
      </c>
      <c r="AH35" s="18" t="n">
        <f aca="false">IF($AD35=1,$I35,0)</f>
        <v>0</v>
      </c>
      <c r="AI35" s="18" t="n">
        <f aca="false">IF($AD35=1,$G35,1)</f>
        <v>1</v>
      </c>
      <c r="AJ35" s="18" t="n">
        <f aca="false">IF($AD35=1,$V35,1)</f>
        <v>1</v>
      </c>
      <c r="AK35" s="18" t="n">
        <f aca="false">IF($AD35=1,$Y35,1)</f>
        <v>1</v>
      </c>
    </row>
    <row r="36" customFormat="false" ht="15" hidden="false" customHeight="false" outlineLevel="0" collapsed="false">
      <c r="A36" s="10"/>
      <c r="B36" s="10"/>
      <c r="C36" s="12"/>
      <c r="D36" s="17"/>
      <c r="E36" s="13"/>
      <c r="F36" s="21"/>
      <c r="G36" s="12"/>
      <c r="H36" s="12"/>
      <c r="I36" s="12"/>
      <c r="J36" s="12"/>
      <c r="K36" s="12"/>
      <c r="L36" s="12"/>
      <c r="M36" s="15"/>
      <c r="N36" s="15"/>
      <c r="O36" s="12"/>
      <c r="P36" s="17"/>
      <c r="Q36" s="22" t="str">
        <f aca="false">IF(OR($G36="",Setup!$B$5=""),"",Setup!$B$5/$G36)</f>
        <v/>
      </c>
      <c r="R36" s="23" t="str">
        <f aca="false">IF(OR($E36="",$Q36=""),"",1-(1-$E36)^$Q36)</f>
        <v/>
      </c>
      <c r="S36" s="22" t="str">
        <f aca="false">IF(OR($R36="",$H36=""),"",$H36*$R36)</f>
        <v/>
      </c>
      <c r="T36" s="23" t="str">
        <f aca="false">IF(OR($E36="",$I36=""),"",MIN(1,MIN(N($F36),$E36)+($E36-MIN(N($F36),$E36))*(1-$I36)))</f>
        <v/>
      </c>
      <c r="U36" s="23" t="str">
        <f aca="false">IF(OR($T36="",$Q36=""),"",1-(1-$T36)^$Q36)</f>
        <v/>
      </c>
      <c r="V36" s="23" t="str">
        <f aca="false">IF($M36&lt;&gt;"",$M36,IF($G36="","",MAX(1,(Setup!$B$6/$G36)^Setup!$B$7)))</f>
        <v/>
      </c>
      <c r="W36" s="22" t="str">
        <f aca="false">IF(COUNT($J36:$L36)&lt;3,"",Setup!$B$10*(6-$J36)+Setup!$B$11*$K36+Setup!$B$12*$L36)</f>
        <v/>
      </c>
      <c r="X36" s="23" t="str">
        <f aca="false">IF($W36="","",IF(LEFT(Setup!$B$15,1)="B",EXP(Setup!$B$14*($W36-1)),1+Setup!$B$14*($W36-1)))</f>
        <v/>
      </c>
      <c r="Y36" s="23" t="str">
        <f aca="false">IF($N36&lt;&gt;"",$N36,$X36)</f>
        <v/>
      </c>
      <c r="Z36" s="22" t="str">
        <f aca="false">IF(OR($H36="",$U36="",$V36=""),"",$H36*$U36*$V36)</f>
        <v/>
      </c>
      <c r="AA36" s="22" t="str">
        <f aca="false">IF(OR($Z36="",$Y36=""),"",$Z36*$Y36)</f>
        <v/>
      </c>
      <c r="AB36" s="1" t="str">
        <f aca="false">IF($A36="","",IF(OR($E36="",$G36="",$H36="",$I36="",AND($N36="",COUNT($J36:$L36)&lt;3)),"Missing: "&amp;IF($E36="","P ","")&amp;IF($G36="","T ","")&amp;IF($H36="","I ","")&amp;IF($I36="","C ","")&amp;IF(AND($N36="",COUNT($J36:$L36)&lt;3),"C_ctrl/C_ext/C_irr",""),IF(N($F36)&gt;$E36,"P_floor &gt; P (floor capped at P)","OK")))</f>
        <v/>
      </c>
      <c r="AC36" s="1" t="str">
        <f aca="false">IF($AA36="","",$AA36+ROW()/1000000)</f>
        <v/>
      </c>
      <c r="AD36" s="18" t="n">
        <f aca="false">IF(AND($A36&lt;&gt;"",ISNUMBER($AA36)),1,0)</f>
        <v>0</v>
      </c>
      <c r="AE36" s="18" t="n">
        <f aca="false">IF($AD36=1,$H36,0)</f>
        <v>0</v>
      </c>
      <c r="AF36" s="18" t="n">
        <f aca="false">IF($AD36=1,$E36,0)</f>
        <v>0</v>
      </c>
      <c r="AG36" s="18" t="n">
        <f aca="false">IF($AD36=1,MIN(N($F36),$E36),0)</f>
        <v>0</v>
      </c>
      <c r="AH36" s="18" t="n">
        <f aca="false">IF($AD36=1,$I36,0)</f>
        <v>0</v>
      </c>
      <c r="AI36" s="18" t="n">
        <f aca="false">IF($AD36=1,$G36,1)</f>
        <v>1</v>
      </c>
      <c r="AJ36" s="18" t="n">
        <f aca="false">IF($AD36=1,$V36,1)</f>
        <v>1</v>
      </c>
      <c r="AK36" s="18" t="n">
        <f aca="false">IF($AD36=1,$Y36,1)</f>
        <v>1</v>
      </c>
    </row>
    <row r="37" customFormat="false" ht="15" hidden="false" customHeight="false" outlineLevel="0" collapsed="false">
      <c r="A37" s="10"/>
      <c r="B37" s="10"/>
      <c r="C37" s="12"/>
      <c r="D37" s="17"/>
      <c r="E37" s="13"/>
      <c r="F37" s="21"/>
      <c r="G37" s="12"/>
      <c r="H37" s="12"/>
      <c r="I37" s="12"/>
      <c r="J37" s="12"/>
      <c r="K37" s="12"/>
      <c r="L37" s="12"/>
      <c r="M37" s="15"/>
      <c r="N37" s="15"/>
      <c r="O37" s="12"/>
      <c r="P37" s="17"/>
      <c r="Q37" s="22" t="str">
        <f aca="false">IF(OR($G37="",Setup!$B$5=""),"",Setup!$B$5/$G37)</f>
        <v/>
      </c>
      <c r="R37" s="23" t="str">
        <f aca="false">IF(OR($E37="",$Q37=""),"",1-(1-$E37)^$Q37)</f>
        <v/>
      </c>
      <c r="S37" s="22" t="str">
        <f aca="false">IF(OR($R37="",$H37=""),"",$H37*$R37)</f>
        <v/>
      </c>
      <c r="T37" s="23" t="str">
        <f aca="false">IF(OR($E37="",$I37=""),"",MIN(1,MIN(N($F37),$E37)+($E37-MIN(N($F37),$E37))*(1-$I37)))</f>
        <v/>
      </c>
      <c r="U37" s="23" t="str">
        <f aca="false">IF(OR($T37="",$Q37=""),"",1-(1-$T37)^$Q37)</f>
        <v/>
      </c>
      <c r="V37" s="23" t="str">
        <f aca="false">IF($M37&lt;&gt;"",$M37,IF($G37="","",MAX(1,(Setup!$B$6/$G37)^Setup!$B$7)))</f>
        <v/>
      </c>
      <c r="W37" s="22" t="str">
        <f aca="false">IF(COUNT($J37:$L37)&lt;3,"",Setup!$B$10*(6-$J37)+Setup!$B$11*$K37+Setup!$B$12*$L37)</f>
        <v/>
      </c>
      <c r="X37" s="23" t="str">
        <f aca="false">IF($W37="","",IF(LEFT(Setup!$B$15,1)="B",EXP(Setup!$B$14*($W37-1)),1+Setup!$B$14*($W37-1)))</f>
        <v/>
      </c>
      <c r="Y37" s="23" t="str">
        <f aca="false">IF($N37&lt;&gt;"",$N37,$X37)</f>
        <v/>
      </c>
      <c r="Z37" s="22" t="str">
        <f aca="false">IF(OR($H37="",$U37="",$V37=""),"",$H37*$U37*$V37)</f>
        <v/>
      </c>
      <c r="AA37" s="22" t="str">
        <f aca="false">IF(OR($Z37="",$Y37=""),"",$Z37*$Y37)</f>
        <v/>
      </c>
      <c r="AB37" s="1" t="str">
        <f aca="false">IF($A37="","",IF(OR($E37="",$G37="",$H37="",$I37="",AND($N37="",COUNT($J37:$L37)&lt;3)),"Missing: "&amp;IF($E37="","P ","")&amp;IF($G37="","T ","")&amp;IF($H37="","I ","")&amp;IF($I37="","C ","")&amp;IF(AND($N37="",COUNT($J37:$L37)&lt;3),"C_ctrl/C_ext/C_irr",""),IF(N($F37)&gt;$E37,"P_floor &gt; P (floor capped at P)","OK")))</f>
        <v/>
      </c>
      <c r="AC37" s="1" t="str">
        <f aca="false">IF($AA37="","",$AA37+ROW()/1000000)</f>
        <v/>
      </c>
      <c r="AD37" s="18" t="n">
        <f aca="false">IF(AND($A37&lt;&gt;"",ISNUMBER($AA37)),1,0)</f>
        <v>0</v>
      </c>
      <c r="AE37" s="18" t="n">
        <f aca="false">IF($AD37=1,$H37,0)</f>
        <v>0</v>
      </c>
      <c r="AF37" s="18" t="n">
        <f aca="false">IF($AD37=1,$E37,0)</f>
        <v>0</v>
      </c>
      <c r="AG37" s="18" t="n">
        <f aca="false">IF($AD37=1,MIN(N($F37),$E37),0)</f>
        <v>0</v>
      </c>
      <c r="AH37" s="18" t="n">
        <f aca="false">IF($AD37=1,$I37,0)</f>
        <v>0</v>
      </c>
      <c r="AI37" s="18" t="n">
        <f aca="false">IF($AD37=1,$G37,1)</f>
        <v>1</v>
      </c>
      <c r="AJ37" s="18" t="n">
        <f aca="false">IF($AD37=1,$V37,1)</f>
        <v>1</v>
      </c>
      <c r="AK37" s="18" t="n">
        <f aca="false">IF($AD37=1,$Y37,1)</f>
        <v>1</v>
      </c>
    </row>
    <row r="38" customFormat="false" ht="15" hidden="false" customHeight="false" outlineLevel="0" collapsed="false">
      <c r="A38" s="10"/>
      <c r="B38" s="10"/>
      <c r="C38" s="12"/>
      <c r="D38" s="17"/>
      <c r="E38" s="13"/>
      <c r="F38" s="21"/>
      <c r="G38" s="12"/>
      <c r="H38" s="12"/>
      <c r="I38" s="12"/>
      <c r="J38" s="12"/>
      <c r="K38" s="12"/>
      <c r="L38" s="12"/>
      <c r="M38" s="15"/>
      <c r="N38" s="15"/>
      <c r="O38" s="12"/>
      <c r="P38" s="17"/>
      <c r="Q38" s="22" t="str">
        <f aca="false">IF(OR($G38="",Setup!$B$5=""),"",Setup!$B$5/$G38)</f>
        <v/>
      </c>
      <c r="R38" s="23" t="str">
        <f aca="false">IF(OR($E38="",$Q38=""),"",1-(1-$E38)^$Q38)</f>
        <v/>
      </c>
      <c r="S38" s="22" t="str">
        <f aca="false">IF(OR($R38="",$H38=""),"",$H38*$R38)</f>
        <v/>
      </c>
      <c r="T38" s="23" t="str">
        <f aca="false">IF(OR($E38="",$I38=""),"",MIN(1,MIN(N($F38),$E38)+($E38-MIN(N($F38),$E38))*(1-$I38)))</f>
        <v/>
      </c>
      <c r="U38" s="23" t="str">
        <f aca="false">IF(OR($T38="",$Q38=""),"",1-(1-$T38)^$Q38)</f>
        <v/>
      </c>
      <c r="V38" s="23" t="str">
        <f aca="false">IF($M38&lt;&gt;"",$M38,IF($G38="","",MAX(1,(Setup!$B$6/$G38)^Setup!$B$7)))</f>
        <v/>
      </c>
      <c r="W38" s="22" t="str">
        <f aca="false">IF(COUNT($J38:$L38)&lt;3,"",Setup!$B$10*(6-$J38)+Setup!$B$11*$K38+Setup!$B$12*$L38)</f>
        <v/>
      </c>
      <c r="X38" s="23" t="str">
        <f aca="false">IF($W38="","",IF(LEFT(Setup!$B$15,1)="B",EXP(Setup!$B$14*($W38-1)),1+Setup!$B$14*($W38-1)))</f>
        <v/>
      </c>
      <c r="Y38" s="23" t="str">
        <f aca="false">IF($N38&lt;&gt;"",$N38,$X38)</f>
        <v/>
      </c>
      <c r="Z38" s="22" t="str">
        <f aca="false">IF(OR($H38="",$U38="",$V38=""),"",$H38*$U38*$V38)</f>
        <v/>
      </c>
      <c r="AA38" s="22" t="str">
        <f aca="false">IF(OR($Z38="",$Y38=""),"",$Z38*$Y38)</f>
        <v/>
      </c>
      <c r="AB38" s="1" t="str">
        <f aca="false">IF($A38="","",IF(OR($E38="",$G38="",$H38="",$I38="",AND($N38="",COUNT($J38:$L38)&lt;3)),"Missing: "&amp;IF($E38="","P ","")&amp;IF($G38="","T ","")&amp;IF($H38="","I ","")&amp;IF($I38="","C ","")&amp;IF(AND($N38="",COUNT($J38:$L38)&lt;3),"C_ctrl/C_ext/C_irr",""),IF(N($F38)&gt;$E38,"P_floor &gt; P (floor capped at P)","OK")))</f>
        <v/>
      </c>
      <c r="AC38" s="1" t="str">
        <f aca="false">IF($AA38="","",$AA38+ROW()/1000000)</f>
        <v/>
      </c>
      <c r="AD38" s="18" t="n">
        <f aca="false">IF(AND($A38&lt;&gt;"",ISNUMBER($AA38)),1,0)</f>
        <v>0</v>
      </c>
      <c r="AE38" s="18" t="n">
        <f aca="false">IF($AD38=1,$H38,0)</f>
        <v>0</v>
      </c>
      <c r="AF38" s="18" t="n">
        <f aca="false">IF($AD38=1,$E38,0)</f>
        <v>0</v>
      </c>
      <c r="AG38" s="18" t="n">
        <f aca="false">IF($AD38=1,MIN(N($F38),$E38),0)</f>
        <v>0</v>
      </c>
      <c r="AH38" s="18" t="n">
        <f aca="false">IF($AD38=1,$I38,0)</f>
        <v>0</v>
      </c>
      <c r="AI38" s="18" t="n">
        <f aca="false">IF($AD38=1,$G38,1)</f>
        <v>1</v>
      </c>
      <c r="AJ38" s="18" t="n">
        <f aca="false">IF($AD38=1,$V38,1)</f>
        <v>1</v>
      </c>
      <c r="AK38" s="18" t="n">
        <f aca="false">IF($AD38=1,$Y38,1)</f>
        <v>1</v>
      </c>
    </row>
    <row r="39" customFormat="false" ht="15" hidden="false" customHeight="false" outlineLevel="0" collapsed="false">
      <c r="A39" s="10"/>
      <c r="B39" s="10"/>
      <c r="C39" s="12"/>
      <c r="D39" s="17"/>
      <c r="E39" s="13"/>
      <c r="F39" s="21"/>
      <c r="G39" s="12"/>
      <c r="H39" s="12"/>
      <c r="I39" s="12"/>
      <c r="J39" s="12"/>
      <c r="K39" s="12"/>
      <c r="L39" s="12"/>
      <c r="M39" s="15"/>
      <c r="N39" s="15"/>
      <c r="O39" s="12"/>
      <c r="P39" s="17"/>
      <c r="Q39" s="22" t="str">
        <f aca="false">IF(OR($G39="",Setup!$B$5=""),"",Setup!$B$5/$G39)</f>
        <v/>
      </c>
      <c r="R39" s="23" t="str">
        <f aca="false">IF(OR($E39="",$Q39=""),"",1-(1-$E39)^$Q39)</f>
        <v/>
      </c>
      <c r="S39" s="22" t="str">
        <f aca="false">IF(OR($R39="",$H39=""),"",$H39*$R39)</f>
        <v/>
      </c>
      <c r="T39" s="23" t="str">
        <f aca="false">IF(OR($E39="",$I39=""),"",MIN(1,MIN(N($F39),$E39)+($E39-MIN(N($F39),$E39))*(1-$I39)))</f>
        <v/>
      </c>
      <c r="U39" s="23" t="str">
        <f aca="false">IF(OR($T39="",$Q39=""),"",1-(1-$T39)^$Q39)</f>
        <v/>
      </c>
      <c r="V39" s="23" t="str">
        <f aca="false">IF($M39&lt;&gt;"",$M39,IF($G39="","",MAX(1,(Setup!$B$6/$G39)^Setup!$B$7)))</f>
        <v/>
      </c>
      <c r="W39" s="22" t="str">
        <f aca="false">IF(COUNT($J39:$L39)&lt;3,"",Setup!$B$10*(6-$J39)+Setup!$B$11*$K39+Setup!$B$12*$L39)</f>
        <v/>
      </c>
      <c r="X39" s="23" t="str">
        <f aca="false">IF($W39="","",IF(LEFT(Setup!$B$15,1)="B",EXP(Setup!$B$14*($W39-1)),1+Setup!$B$14*($W39-1)))</f>
        <v/>
      </c>
      <c r="Y39" s="23" t="str">
        <f aca="false">IF($N39&lt;&gt;"",$N39,$X39)</f>
        <v/>
      </c>
      <c r="Z39" s="22" t="str">
        <f aca="false">IF(OR($H39="",$U39="",$V39=""),"",$H39*$U39*$V39)</f>
        <v/>
      </c>
      <c r="AA39" s="22" t="str">
        <f aca="false">IF(OR($Z39="",$Y39=""),"",$Z39*$Y39)</f>
        <v/>
      </c>
      <c r="AB39" s="1" t="str">
        <f aca="false">IF($A39="","",IF(OR($E39="",$G39="",$H39="",$I39="",AND($N39="",COUNT($J39:$L39)&lt;3)),"Missing: "&amp;IF($E39="","P ","")&amp;IF($G39="","T ","")&amp;IF($H39="","I ","")&amp;IF($I39="","C ","")&amp;IF(AND($N39="",COUNT($J39:$L39)&lt;3),"C_ctrl/C_ext/C_irr",""),IF(N($F39)&gt;$E39,"P_floor &gt; P (floor capped at P)","OK")))</f>
        <v/>
      </c>
      <c r="AC39" s="1" t="str">
        <f aca="false">IF($AA39="","",$AA39+ROW()/1000000)</f>
        <v/>
      </c>
      <c r="AD39" s="18" t="n">
        <f aca="false">IF(AND($A39&lt;&gt;"",ISNUMBER($AA39)),1,0)</f>
        <v>0</v>
      </c>
      <c r="AE39" s="18" t="n">
        <f aca="false">IF($AD39=1,$H39,0)</f>
        <v>0</v>
      </c>
      <c r="AF39" s="18" t="n">
        <f aca="false">IF($AD39=1,$E39,0)</f>
        <v>0</v>
      </c>
      <c r="AG39" s="18" t="n">
        <f aca="false">IF($AD39=1,MIN(N($F39),$E39),0)</f>
        <v>0</v>
      </c>
      <c r="AH39" s="18" t="n">
        <f aca="false">IF($AD39=1,$I39,0)</f>
        <v>0</v>
      </c>
      <c r="AI39" s="18" t="n">
        <f aca="false">IF($AD39=1,$G39,1)</f>
        <v>1</v>
      </c>
      <c r="AJ39" s="18" t="n">
        <f aca="false">IF($AD39=1,$V39,1)</f>
        <v>1</v>
      </c>
      <c r="AK39" s="18" t="n">
        <f aca="false">IF($AD39=1,$Y39,1)</f>
        <v>1</v>
      </c>
    </row>
    <row r="40" customFormat="false" ht="15" hidden="false" customHeight="false" outlineLevel="0" collapsed="false">
      <c r="A40" s="10"/>
      <c r="B40" s="10"/>
      <c r="C40" s="12"/>
      <c r="D40" s="17"/>
      <c r="E40" s="13"/>
      <c r="F40" s="21"/>
      <c r="G40" s="12"/>
      <c r="H40" s="12"/>
      <c r="I40" s="12"/>
      <c r="J40" s="12"/>
      <c r="K40" s="12"/>
      <c r="L40" s="12"/>
      <c r="M40" s="15"/>
      <c r="N40" s="15"/>
      <c r="O40" s="12"/>
      <c r="P40" s="17"/>
      <c r="Q40" s="22" t="str">
        <f aca="false">IF(OR($G40="",Setup!$B$5=""),"",Setup!$B$5/$G40)</f>
        <v/>
      </c>
      <c r="R40" s="23" t="str">
        <f aca="false">IF(OR($E40="",$Q40=""),"",1-(1-$E40)^$Q40)</f>
        <v/>
      </c>
      <c r="S40" s="22" t="str">
        <f aca="false">IF(OR($R40="",$H40=""),"",$H40*$R40)</f>
        <v/>
      </c>
      <c r="T40" s="23" t="str">
        <f aca="false">IF(OR($E40="",$I40=""),"",MIN(1,MIN(N($F40),$E40)+($E40-MIN(N($F40),$E40))*(1-$I40)))</f>
        <v/>
      </c>
      <c r="U40" s="23" t="str">
        <f aca="false">IF(OR($T40="",$Q40=""),"",1-(1-$T40)^$Q40)</f>
        <v/>
      </c>
      <c r="V40" s="23" t="str">
        <f aca="false">IF($M40&lt;&gt;"",$M40,IF($G40="","",MAX(1,(Setup!$B$6/$G40)^Setup!$B$7)))</f>
        <v/>
      </c>
      <c r="W40" s="22" t="str">
        <f aca="false">IF(COUNT($J40:$L40)&lt;3,"",Setup!$B$10*(6-$J40)+Setup!$B$11*$K40+Setup!$B$12*$L40)</f>
        <v/>
      </c>
      <c r="X40" s="23" t="str">
        <f aca="false">IF($W40="","",IF(LEFT(Setup!$B$15,1)="B",EXP(Setup!$B$14*($W40-1)),1+Setup!$B$14*($W40-1)))</f>
        <v/>
      </c>
      <c r="Y40" s="23" t="str">
        <f aca="false">IF($N40&lt;&gt;"",$N40,$X40)</f>
        <v/>
      </c>
      <c r="Z40" s="22" t="str">
        <f aca="false">IF(OR($H40="",$U40="",$V40=""),"",$H40*$U40*$V40)</f>
        <v/>
      </c>
      <c r="AA40" s="22" t="str">
        <f aca="false">IF(OR($Z40="",$Y40=""),"",$Z40*$Y40)</f>
        <v/>
      </c>
      <c r="AB40" s="1" t="str">
        <f aca="false">IF($A40="","",IF(OR($E40="",$G40="",$H40="",$I40="",AND($N40="",COUNT($J40:$L40)&lt;3)),"Missing: "&amp;IF($E40="","P ","")&amp;IF($G40="","T ","")&amp;IF($H40="","I ","")&amp;IF($I40="","C ","")&amp;IF(AND($N40="",COUNT($J40:$L40)&lt;3),"C_ctrl/C_ext/C_irr",""),IF(N($F40)&gt;$E40,"P_floor &gt; P (floor capped at P)","OK")))</f>
        <v/>
      </c>
      <c r="AC40" s="1" t="str">
        <f aca="false">IF($AA40="","",$AA40+ROW()/1000000)</f>
        <v/>
      </c>
      <c r="AD40" s="18" t="n">
        <f aca="false">IF(AND($A40&lt;&gt;"",ISNUMBER($AA40)),1,0)</f>
        <v>0</v>
      </c>
      <c r="AE40" s="18" t="n">
        <f aca="false">IF($AD40=1,$H40,0)</f>
        <v>0</v>
      </c>
      <c r="AF40" s="18" t="n">
        <f aca="false">IF($AD40=1,$E40,0)</f>
        <v>0</v>
      </c>
      <c r="AG40" s="18" t="n">
        <f aca="false">IF($AD40=1,MIN(N($F40),$E40),0)</f>
        <v>0</v>
      </c>
      <c r="AH40" s="18" t="n">
        <f aca="false">IF($AD40=1,$I40,0)</f>
        <v>0</v>
      </c>
      <c r="AI40" s="18" t="n">
        <f aca="false">IF($AD40=1,$G40,1)</f>
        <v>1</v>
      </c>
      <c r="AJ40" s="18" t="n">
        <f aca="false">IF($AD40=1,$V40,1)</f>
        <v>1</v>
      </c>
      <c r="AK40" s="18" t="n">
        <f aca="false">IF($AD40=1,$Y40,1)</f>
        <v>1</v>
      </c>
    </row>
    <row r="41" customFormat="false" ht="15" hidden="false" customHeight="false" outlineLevel="0" collapsed="false">
      <c r="A41" s="10"/>
      <c r="B41" s="10"/>
      <c r="C41" s="12"/>
      <c r="D41" s="17"/>
      <c r="E41" s="13"/>
      <c r="F41" s="21"/>
      <c r="G41" s="12"/>
      <c r="H41" s="12"/>
      <c r="I41" s="12"/>
      <c r="J41" s="12"/>
      <c r="K41" s="12"/>
      <c r="L41" s="12"/>
      <c r="M41" s="15"/>
      <c r="N41" s="15"/>
      <c r="O41" s="12"/>
      <c r="P41" s="17"/>
      <c r="Q41" s="22" t="str">
        <f aca="false">IF(OR($G41="",Setup!$B$5=""),"",Setup!$B$5/$G41)</f>
        <v/>
      </c>
      <c r="R41" s="23" t="str">
        <f aca="false">IF(OR($E41="",$Q41=""),"",1-(1-$E41)^$Q41)</f>
        <v/>
      </c>
      <c r="S41" s="22" t="str">
        <f aca="false">IF(OR($R41="",$H41=""),"",$H41*$R41)</f>
        <v/>
      </c>
      <c r="T41" s="23" t="str">
        <f aca="false">IF(OR($E41="",$I41=""),"",MIN(1,MIN(N($F41),$E41)+($E41-MIN(N($F41),$E41))*(1-$I41)))</f>
        <v/>
      </c>
      <c r="U41" s="23" t="str">
        <f aca="false">IF(OR($T41="",$Q41=""),"",1-(1-$T41)^$Q41)</f>
        <v/>
      </c>
      <c r="V41" s="23" t="str">
        <f aca="false">IF($M41&lt;&gt;"",$M41,IF($G41="","",MAX(1,(Setup!$B$6/$G41)^Setup!$B$7)))</f>
        <v/>
      </c>
      <c r="W41" s="22" t="str">
        <f aca="false">IF(COUNT($J41:$L41)&lt;3,"",Setup!$B$10*(6-$J41)+Setup!$B$11*$K41+Setup!$B$12*$L41)</f>
        <v/>
      </c>
      <c r="X41" s="23" t="str">
        <f aca="false">IF($W41="","",IF(LEFT(Setup!$B$15,1)="B",EXP(Setup!$B$14*($W41-1)),1+Setup!$B$14*($W41-1)))</f>
        <v/>
      </c>
      <c r="Y41" s="23" t="str">
        <f aca="false">IF($N41&lt;&gt;"",$N41,$X41)</f>
        <v/>
      </c>
      <c r="Z41" s="22" t="str">
        <f aca="false">IF(OR($H41="",$U41="",$V41=""),"",$H41*$U41*$V41)</f>
        <v/>
      </c>
      <c r="AA41" s="22" t="str">
        <f aca="false">IF(OR($Z41="",$Y41=""),"",$Z41*$Y41)</f>
        <v/>
      </c>
      <c r="AB41" s="1" t="str">
        <f aca="false">IF($A41="","",IF(OR($E41="",$G41="",$H41="",$I41="",AND($N41="",COUNT($J41:$L41)&lt;3)),"Missing: "&amp;IF($E41="","P ","")&amp;IF($G41="","T ","")&amp;IF($H41="","I ","")&amp;IF($I41="","C ","")&amp;IF(AND($N41="",COUNT($J41:$L41)&lt;3),"C_ctrl/C_ext/C_irr",""),IF(N($F41)&gt;$E41,"P_floor &gt; P (floor capped at P)","OK")))</f>
        <v/>
      </c>
      <c r="AC41" s="1" t="str">
        <f aca="false">IF($AA41="","",$AA41+ROW()/1000000)</f>
        <v/>
      </c>
      <c r="AD41" s="18" t="n">
        <f aca="false">IF(AND($A41&lt;&gt;"",ISNUMBER($AA41)),1,0)</f>
        <v>0</v>
      </c>
      <c r="AE41" s="18" t="n">
        <f aca="false">IF($AD41=1,$H41,0)</f>
        <v>0</v>
      </c>
      <c r="AF41" s="18" t="n">
        <f aca="false">IF($AD41=1,$E41,0)</f>
        <v>0</v>
      </c>
      <c r="AG41" s="18" t="n">
        <f aca="false">IF($AD41=1,MIN(N($F41),$E41),0)</f>
        <v>0</v>
      </c>
      <c r="AH41" s="18" t="n">
        <f aca="false">IF($AD41=1,$I41,0)</f>
        <v>0</v>
      </c>
      <c r="AI41" s="18" t="n">
        <f aca="false">IF($AD41=1,$G41,1)</f>
        <v>1</v>
      </c>
      <c r="AJ41" s="18" t="n">
        <f aca="false">IF($AD41=1,$V41,1)</f>
        <v>1</v>
      </c>
      <c r="AK41" s="18" t="n">
        <f aca="false">IF($AD41=1,$Y41,1)</f>
        <v>1</v>
      </c>
    </row>
    <row r="42" customFormat="false" ht="15" hidden="false" customHeight="false" outlineLevel="0" collapsed="false">
      <c r="A42" s="10"/>
      <c r="B42" s="10"/>
      <c r="C42" s="12"/>
      <c r="D42" s="17"/>
      <c r="E42" s="13"/>
      <c r="F42" s="21"/>
      <c r="G42" s="12"/>
      <c r="H42" s="12"/>
      <c r="I42" s="12"/>
      <c r="J42" s="12"/>
      <c r="K42" s="12"/>
      <c r="L42" s="12"/>
      <c r="M42" s="15"/>
      <c r="N42" s="15"/>
      <c r="O42" s="12"/>
      <c r="P42" s="17"/>
      <c r="Q42" s="22" t="str">
        <f aca="false">IF(OR($G42="",Setup!$B$5=""),"",Setup!$B$5/$G42)</f>
        <v/>
      </c>
      <c r="R42" s="23" t="str">
        <f aca="false">IF(OR($E42="",$Q42=""),"",1-(1-$E42)^$Q42)</f>
        <v/>
      </c>
      <c r="S42" s="22" t="str">
        <f aca="false">IF(OR($R42="",$H42=""),"",$H42*$R42)</f>
        <v/>
      </c>
      <c r="T42" s="23" t="str">
        <f aca="false">IF(OR($E42="",$I42=""),"",MIN(1,MIN(N($F42),$E42)+($E42-MIN(N($F42),$E42))*(1-$I42)))</f>
        <v/>
      </c>
      <c r="U42" s="23" t="str">
        <f aca="false">IF(OR($T42="",$Q42=""),"",1-(1-$T42)^$Q42)</f>
        <v/>
      </c>
      <c r="V42" s="23" t="str">
        <f aca="false">IF($M42&lt;&gt;"",$M42,IF($G42="","",MAX(1,(Setup!$B$6/$G42)^Setup!$B$7)))</f>
        <v/>
      </c>
      <c r="W42" s="22" t="str">
        <f aca="false">IF(COUNT($J42:$L42)&lt;3,"",Setup!$B$10*(6-$J42)+Setup!$B$11*$K42+Setup!$B$12*$L42)</f>
        <v/>
      </c>
      <c r="X42" s="23" t="str">
        <f aca="false">IF($W42="","",IF(LEFT(Setup!$B$15,1)="B",EXP(Setup!$B$14*($W42-1)),1+Setup!$B$14*($W42-1)))</f>
        <v/>
      </c>
      <c r="Y42" s="23" t="str">
        <f aca="false">IF($N42&lt;&gt;"",$N42,$X42)</f>
        <v/>
      </c>
      <c r="Z42" s="22" t="str">
        <f aca="false">IF(OR($H42="",$U42="",$V42=""),"",$H42*$U42*$V42)</f>
        <v/>
      </c>
      <c r="AA42" s="22" t="str">
        <f aca="false">IF(OR($Z42="",$Y42=""),"",$Z42*$Y42)</f>
        <v/>
      </c>
      <c r="AB42" s="1" t="str">
        <f aca="false">IF($A42="","",IF(OR($E42="",$G42="",$H42="",$I42="",AND($N42="",COUNT($J42:$L42)&lt;3)),"Missing: "&amp;IF($E42="","P ","")&amp;IF($G42="","T ","")&amp;IF($H42="","I ","")&amp;IF($I42="","C ","")&amp;IF(AND($N42="",COUNT($J42:$L42)&lt;3),"C_ctrl/C_ext/C_irr",""),IF(N($F42)&gt;$E42,"P_floor &gt; P (floor capped at P)","OK")))</f>
        <v/>
      </c>
      <c r="AC42" s="1" t="str">
        <f aca="false">IF($AA42="","",$AA42+ROW()/1000000)</f>
        <v/>
      </c>
      <c r="AD42" s="18" t="n">
        <f aca="false">IF(AND($A42&lt;&gt;"",ISNUMBER($AA42)),1,0)</f>
        <v>0</v>
      </c>
      <c r="AE42" s="18" t="n">
        <f aca="false">IF($AD42=1,$H42,0)</f>
        <v>0</v>
      </c>
      <c r="AF42" s="18" t="n">
        <f aca="false">IF($AD42=1,$E42,0)</f>
        <v>0</v>
      </c>
      <c r="AG42" s="18" t="n">
        <f aca="false">IF($AD42=1,MIN(N($F42),$E42),0)</f>
        <v>0</v>
      </c>
      <c r="AH42" s="18" t="n">
        <f aca="false">IF($AD42=1,$I42,0)</f>
        <v>0</v>
      </c>
      <c r="AI42" s="18" t="n">
        <f aca="false">IF($AD42=1,$G42,1)</f>
        <v>1</v>
      </c>
      <c r="AJ42" s="18" t="n">
        <f aca="false">IF($AD42=1,$V42,1)</f>
        <v>1</v>
      </c>
      <c r="AK42" s="18" t="n">
        <f aca="false">IF($AD42=1,$Y42,1)</f>
        <v>1</v>
      </c>
    </row>
    <row r="43" customFormat="false" ht="15" hidden="false" customHeight="false" outlineLevel="0" collapsed="false">
      <c r="A43" s="10"/>
      <c r="B43" s="10"/>
      <c r="C43" s="12"/>
      <c r="D43" s="17"/>
      <c r="E43" s="13"/>
      <c r="F43" s="21"/>
      <c r="G43" s="12"/>
      <c r="H43" s="12"/>
      <c r="I43" s="12"/>
      <c r="J43" s="12"/>
      <c r="K43" s="12"/>
      <c r="L43" s="12"/>
      <c r="M43" s="15"/>
      <c r="N43" s="15"/>
      <c r="O43" s="12"/>
      <c r="P43" s="17"/>
      <c r="Q43" s="22" t="str">
        <f aca="false">IF(OR($G43="",Setup!$B$5=""),"",Setup!$B$5/$G43)</f>
        <v/>
      </c>
      <c r="R43" s="23" t="str">
        <f aca="false">IF(OR($E43="",$Q43=""),"",1-(1-$E43)^$Q43)</f>
        <v/>
      </c>
      <c r="S43" s="22" t="str">
        <f aca="false">IF(OR($R43="",$H43=""),"",$H43*$R43)</f>
        <v/>
      </c>
      <c r="T43" s="23" t="str">
        <f aca="false">IF(OR($E43="",$I43=""),"",MIN(1,MIN(N($F43),$E43)+($E43-MIN(N($F43),$E43))*(1-$I43)))</f>
        <v/>
      </c>
      <c r="U43" s="23" t="str">
        <f aca="false">IF(OR($T43="",$Q43=""),"",1-(1-$T43)^$Q43)</f>
        <v/>
      </c>
      <c r="V43" s="23" t="str">
        <f aca="false">IF($M43&lt;&gt;"",$M43,IF($G43="","",MAX(1,(Setup!$B$6/$G43)^Setup!$B$7)))</f>
        <v/>
      </c>
      <c r="W43" s="22" t="str">
        <f aca="false">IF(COUNT($J43:$L43)&lt;3,"",Setup!$B$10*(6-$J43)+Setup!$B$11*$K43+Setup!$B$12*$L43)</f>
        <v/>
      </c>
      <c r="X43" s="23" t="str">
        <f aca="false">IF($W43="","",IF(LEFT(Setup!$B$15,1)="B",EXP(Setup!$B$14*($W43-1)),1+Setup!$B$14*($W43-1)))</f>
        <v/>
      </c>
      <c r="Y43" s="23" t="str">
        <f aca="false">IF($N43&lt;&gt;"",$N43,$X43)</f>
        <v/>
      </c>
      <c r="Z43" s="22" t="str">
        <f aca="false">IF(OR($H43="",$U43="",$V43=""),"",$H43*$U43*$V43)</f>
        <v/>
      </c>
      <c r="AA43" s="22" t="str">
        <f aca="false">IF(OR($Z43="",$Y43=""),"",$Z43*$Y43)</f>
        <v/>
      </c>
      <c r="AB43" s="1" t="str">
        <f aca="false">IF($A43="","",IF(OR($E43="",$G43="",$H43="",$I43="",AND($N43="",COUNT($J43:$L43)&lt;3)),"Missing: "&amp;IF($E43="","P ","")&amp;IF($G43="","T ","")&amp;IF($H43="","I ","")&amp;IF($I43="","C ","")&amp;IF(AND($N43="",COUNT($J43:$L43)&lt;3),"C_ctrl/C_ext/C_irr",""),IF(N($F43)&gt;$E43,"P_floor &gt; P (floor capped at P)","OK")))</f>
        <v/>
      </c>
      <c r="AC43" s="1" t="str">
        <f aca="false">IF($AA43="","",$AA43+ROW()/1000000)</f>
        <v/>
      </c>
      <c r="AD43" s="18" t="n">
        <f aca="false">IF(AND($A43&lt;&gt;"",ISNUMBER($AA43)),1,0)</f>
        <v>0</v>
      </c>
      <c r="AE43" s="18" t="n">
        <f aca="false">IF($AD43=1,$H43,0)</f>
        <v>0</v>
      </c>
      <c r="AF43" s="18" t="n">
        <f aca="false">IF($AD43=1,$E43,0)</f>
        <v>0</v>
      </c>
      <c r="AG43" s="18" t="n">
        <f aca="false">IF($AD43=1,MIN(N($F43),$E43),0)</f>
        <v>0</v>
      </c>
      <c r="AH43" s="18" t="n">
        <f aca="false">IF($AD43=1,$I43,0)</f>
        <v>0</v>
      </c>
      <c r="AI43" s="18" t="n">
        <f aca="false">IF($AD43=1,$G43,1)</f>
        <v>1</v>
      </c>
      <c r="AJ43" s="18" t="n">
        <f aca="false">IF($AD43=1,$V43,1)</f>
        <v>1</v>
      </c>
      <c r="AK43" s="18" t="n">
        <f aca="false">IF($AD43=1,$Y43,1)</f>
        <v>1</v>
      </c>
    </row>
    <row r="44" customFormat="false" ht="15" hidden="false" customHeight="false" outlineLevel="0" collapsed="false">
      <c r="A44" s="10"/>
      <c r="B44" s="10"/>
      <c r="C44" s="12"/>
      <c r="D44" s="17"/>
      <c r="E44" s="13"/>
      <c r="F44" s="21"/>
      <c r="G44" s="12"/>
      <c r="H44" s="12"/>
      <c r="I44" s="12"/>
      <c r="J44" s="12"/>
      <c r="K44" s="12"/>
      <c r="L44" s="12"/>
      <c r="M44" s="15"/>
      <c r="N44" s="15"/>
      <c r="O44" s="12"/>
      <c r="P44" s="17"/>
      <c r="Q44" s="22" t="str">
        <f aca="false">IF(OR($G44="",Setup!$B$5=""),"",Setup!$B$5/$G44)</f>
        <v/>
      </c>
      <c r="R44" s="23" t="str">
        <f aca="false">IF(OR($E44="",$Q44=""),"",1-(1-$E44)^$Q44)</f>
        <v/>
      </c>
      <c r="S44" s="22" t="str">
        <f aca="false">IF(OR($R44="",$H44=""),"",$H44*$R44)</f>
        <v/>
      </c>
      <c r="T44" s="23" t="str">
        <f aca="false">IF(OR($E44="",$I44=""),"",MIN(1,MIN(N($F44),$E44)+($E44-MIN(N($F44),$E44))*(1-$I44)))</f>
        <v/>
      </c>
      <c r="U44" s="23" t="str">
        <f aca="false">IF(OR($T44="",$Q44=""),"",1-(1-$T44)^$Q44)</f>
        <v/>
      </c>
      <c r="V44" s="23" t="str">
        <f aca="false">IF($M44&lt;&gt;"",$M44,IF($G44="","",MAX(1,(Setup!$B$6/$G44)^Setup!$B$7)))</f>
        <v/>
      </c>
      <c r="W44" s="22" t="str">
        <f aca="false">IF(COUNT($J44:$L44)&lt;3,"",Setup!$B$10*(6-$J44)+Setup!$B$11*$K44+Setup!$B$12*$L44)</f>
        <v/>
      </c>
      <c r="X44" s="23" t="str">
        <f aca="false">IF($W44="","",IF(LEFT(Setup!$B$15,1)="B",EXP(Setup!$B$14*($W44-1)),1+Setup!$B$14*($W44-1)))</f>
        <v/>
      </c>
      <c r="Y44" s="23" t="str">
        <f aca="false">IF($N44&lt;&gt;"",$N44,$X44)</f>
        <v/>
      </c>
      <c r="Z44" s="22" t="str">
        <f aca="false">IF(OR($H44="",$U44="",$V44=""),"",$H44*$U44*$V44)</f>
        <v/>
      </c>
      <c r="AA44" s="22" t="str">
        <f aca="false">IF(OR($Z44="",$Y44=""),"",$Z44*$Y44)</f>
        <v/>
      </c>
      <c r="AB44" s="1" t="str">
        <f aca="false">IF($A44="","",IF(OR($E44="",$G44="",$H44="",$I44="",AND($N44="",COUNT($J44:$L44)&lt;3)),"Missing: "&amp;IF($E44="","P ","")&amp;IF($G44="","T ","")&amp;IF($H44="","I ","")&amp;IF($I44="","C ","")&amp;IF(AND($N44="",COUNT($J44:$L44)&lt;3),"C_ctrl/C_ext/C_irr",""),IF(N($F44)&gt;$E44,"P_floor &gt; P (floor capped at P)","OK")))</f>
        <v/>
      </c>
      <c r="AC44" s="1" t="str">
        <f aca="false">IF($AA44="","",$AA44+ROW()/1000000)</f>
        <v/>
      </c>
      <c r="AD44" s="18" t="n">
        <f aca="false">IF(AND($A44&lt;&gt;"",ISNUMBER($AA44)),1,0)</f>
        <v>0</v>
      </c>
      <c r="AE44" s="18" t="n">
        <f aca="false">IF($AD44=1,$H44,0)</f>
        <v>0</v>
      </c>
      <c r="AF44" s="18" t="n">
        <f aca="false">IF($AD44=1,$E44,0)</f>
        <v>0</v>
      </c>
      <c r="AG44" s="18" t="n">
        <f aca="false">IF($AD44=1,MIN(N($F44),$E44),0)</f>
        <v>0</v>
      </c>
      <c r="AH44" s="18" t="n">
        <f aca="false">IF($AD44=1,$I44,0)</f>
        <v>0</v>
      </c>
      <c r="AI44" s="18" t="n">
        <f aca="false">IF($AD44=1,$G44,1)</f>
        <v>1</v>
      </c>
      <c r="AJ44" s="18" t="n">
        <f aca="false">IF($AD44=1,$V44,1)</f>
        <v>1</v>
      </c>
      <c r="AK44" s="18" t="n">
        <f aca="false">IF($AD44=1,$Y44,1)</f>
        <v>1</v>
      </c>
    </row>
    <row r="45" customFormat="false" ht="15" hidden="false" customHeight="false" outlineLevel="0" collapsed="false">
      <c r="A45" s="10"/>
      <c r="B45" s="10"/>
      <c r="C45" s="12"/>
      <c r="D45" s="17"/>
      <c r="E45" s="13"/>
      <c r="F45" s="21"/>
      <c r="G45" s="12"/>
      <c r="H45" s="12"/>
      <c r="I45" s="12"/>
      <c r="J45" s="12"/>
      <c r="K45" s="12"/>
      <c r="L45" s="12"/>
      <c r="M45" s="15"/>
      <c r="N45" s="15"/>
      <c r="O45" s="12"/>
      <c r="P45" s="17"/>
      <c r="Q45" s="22" t="str">
        <f aca="false">IF(OR($G45="",Setup!$B$5=""),"",Setup!$B$5/$G45)</f>
        <v/>
      </c>
      <c r="R45" s="23" t="str">
        <f aca="false">IF(OR($E45="",$Q45=""),"",1-(1-$E45)^$Q45)</f>
        <v/>
      </c>
      <c r="S45" s="22" t="str">
        <f aca="false">IF(OR($R45="",$H45=""),"",$H45*$R45)</f>
        <v/>
      </c>
      <c r="T45" s="23" t="str">
        <f aca="false">IF(OR($E45="",$I45=""),"",MIN(1,MIN(N($F45),$E45)+($E45-MIN(N($F45),$E45))*(1-$I45)))</f>
        <v/>
      </c>
      <c r="U45" s="23" t="str">
        <f aca="false">IF(OR($T45="",$Q45=""),"",1-(1-$T45)^$Q45)</f>
        <v/>
      </c>
      <c r="V45" s="23" t="str">
        <f aca="false">IF($M45&lt;&gt;"",$M45,IF($G45="","",MAX(1,(Setup!$B$6/$G45)^Setup!$B$7)))</f>
        <v/>
      </c>
      <c r="W45" s="22" t="str">
        <f aca="false">IF(COUNT($J45:$L45)&lt;3,"",Setup!$B$10*(6-$J45)+Setup!$B$11*$K45+Setup!$B$12*$L45)</f>
        <v/>
      </c>
      <c r="X45" s="23" t="str">
        <f aca="false">IF($W45="","",IF(LEFT(Setup!$B$15,1)="B",EXP(Setup!$B$14*($W45-1)),1+Setup!$B$14*($W45-1)))</f>
        <v/>
      </c>
      <c r="Y45" s="23" t="str">
        <f aca="false">IF($N45&lt;&gt;"",$N45,$X45)</f>
        <v/>
      </c>
      <c r="Z45" s="22" t="str">
        <f aca="false">IF(OR($H45="",$U45="",$V45=""),"",$H45*$U45*$V45)</f>
        <v/>
      </c>
      <c r="AA45" s="22" t="str">
        <f aca="false">IF(OR($Z45="",$Y45=""),"",$Z45*$Y45)</f>
        <v/>
      </c>
      <c r="AB45" s="1" t="str">
        <f aca="false">IF($A45="","",IF(OR($E45="",$G45="",$H45="",$I45="",AND($N45="",COUNT($J45:$L45)&lt;3)),"Missing: "&amp;IF($E45="","P ","")&amp;IF($G45="","T ","")&amp;IF($H45="","I ","")&amp;IF($I45="","C ","")&amp;IF(AND($N45="",COUNT($J45:$L45)&lt;3),"C_ctrl/C_ext/C_irr",""),IF(N($F45)&gt;$E45,"P_floor &gt; P (floor capped at P)","OK")))</f>
        <v/>
      </c>
      <c r="AC45" s="1" t="str">
        <f aca="false">IF($AA45="","",$AA45+ROW()/1000000)</f>
        <v/>
      </c>
      <c r="AD45" s="18" t="n">
        <f aca="false">IF(AND($A45&lt;&gt;"",ISNUMBER($AA45)),1,0)</f>
        <v>0</v>
      </c>
      <c r="AE45" s="18" t="n">
        <f aca="false">IF($AD45=1,$H45,0)</f>
        <v>0</v>
      </c>
      <c r="AF45" s="18" t="n">
        <f aca="false">IF($AD45=1,$E45,0)</f>
        <v>0</v>
      </c>
      <c r="AG45" s="18" t="n">
        <f aca="false">IF($AD45=1,MIN(N($F45),$E45),0)</f>
        <v>0</v>
      </c>
      <c r="AH45" s="18" t="n">
        <f aca="false">IF($AD45=1,$I45,0)</f>
        <v>0</v>
      </c>
      <c r="AI45" s="18" t="n">
        <f aca="false">IF($AD45=1,$G45,1)</f>
        <v>1</v>
      </c>
      <c r="AJ45" s="18" t="n">
        <f aca="false">IF($AD45=1,$V45,1)</f>
        <v>1</v>
      </c>
      <c r="AK45" s="18" t="n">
        <f aca="false">IF($AD45=1,$Y45,1)</f>
        <v>1</v>
      </c>
    </row>
    <row r="46" customFormat="false" ht="15" hidden="false" customHeight="false" outlineLevel="0" collapsed="false">
      <c r="A46" s="10"/>
      <c r="B46" s="10"/>
      <c r="C46" s="12"/>
      <c r="D46" s="17"/>
      <c r="E46" s="13"/>
      <c r="F46" s="21"/>
      <c r="G46" s="12"/>
      <c r="H46" s="12"/>
      <c r="I46" s="12"/>
      <c r="J46" s="12"/>
      <c r="K46" s="12"/>
      <c r="L46" s="12"/>
      <c r="M46" s="15"/>
      <c r="N46" s="15"/>
      <c r="O46" s="12"/>
      <c r="P46" s="17"/>
      <c r="Q46" s="22" t="str">
        <f aca="false">IF(OR($G46="",Setup!$B$5=""),"",Setup!$B$5/$G46)</f>
        <v/>
      </c>
      <c r="R46" s="23" t="str">
        <f aca="false">IF(OR($E46="",$Q46=""),"",1-(1-$E46)^$Q46)</f>
        <v/>
      </c>
      <c r="S46" s="22" t="str">
        <f aca="false">IF(OR($R46="",$H46=""),"",$H46*$R46)</f>
        <v/>
      </c>
      <c r="T46" s="23" t="str">
        <f aca="false">IF(OR($E46="",$I46=""),"",MIN(1,MIN(N($F46),$E46)+($E46-MIN(N($F46),$E46))*(1-$I46)))</f>
        <v/>
      </c>
      <c r="U46" s="23" t="str">
        <f aca="false">IF(OR($T46="",$Q46=""),"",1-(1-$T46)^$Q46)</f>
        <v/>
      </c>
      <c r="V46" s="23" t="str">
        <f aca="false">IF($M46&lt;&gt;"",$M46,IF($G46="","",MAX(1,(Setup!$B$6/$G46)^Setup!$B$7)))</f>
        <v/>
      </c>
      <c r="W46" s="22" t="str">
        <f aca="false">IF(COUNT($J46:$L46)&lt;3,"",Setup!$B$10*(6-$J46)+Setup!$B$11*$K46+Setup!$B$12*$L46)</f>
        <v/>
      </c>
      <c r="X46" s="23" t="str">
        <f aca="false">IF($W46="","",IF(LEFT(Setup!$B$15,1)="B",EXP(Setup!$B$14*($W46-1)),1+Setup!$B$14*($W46-1)))</f>
        <v/>
      </c>
      <c r="Y46" s="23" t="str">
        <f aca="false">IF($N46&lt;&gt;"",$N46,$X46)</f>
        <v/>
      </c>
      <c r="Z46" s="22" t="str">
        <f aca="false">IF(OR($H46="",$U46="",$V46=""),"",$H46*$U46*$V46)</f>
        <v/>
      </c>
      <c r="AA46" s="22" t="str">
        <f aca="false">IF(OR($Z46="",$Y46=""),"",$Z46*$Y46)</f>
        <v/>
      </c>
      <c r="AB46" s="1" t="str">
        <f aca="false">IF($A46="","",IF(OR($E46="",$G46="",$H46="",$I46="",AND($N46="",COUNT($J46:$L46)&lt;3)),"Missing: "&amp;IF($E46="","P ","")&amp;IF($G46="","T ","")&amp;IF($H46="","I ","")&amp;IF($I46="","C ","")&amp;IF(AND($N46="",COUNT($J46:$L46)&lt;3),"C_ctrl/C_ext/C_irr",""),IF(N($F46)&gt;$E46,"P_floor &gt; P (floor capped at P)","OK")))</f>
        <v/>
      </c>
      <c r="AC46" s="1" t="str">
        <f aca="false">IF($AA46="","",$AA46+ROW()/1000000)</f>
        <v/>
      </c>
      <c r="AD46" s="18" t="n">
        <f aca="false">IF(AND($A46&lt;&gt;"",ISNUMBER($AA46)),1,0)</f>
        <v>0</v>
      </c>
      <c r="AE46" s="18" t="n">
        <f aca="false">IF($AD46=1,$H46,0)</f>
        <v>0</v>
      </c>
      <c r="AF46" s="18" t="n">
        <f aca="false">IF($AD46=1,$E46,0)</f>
        <v>0</v>
      </c>
      <c r="AG46" s="18" t="n">
        <f aca="false">IF($AD46=1,MIN(N($F46),$E46),0)</f>
        <v>0</v>
      </c>
      <c r="AH46" s="18" t="n">
        <f aca="false">IF($AD46=1,$I46,0)</f>
        <v>0</v>
      </c>
      <c r="AI46" s="18" t="n">
        <f aca="false">IF($AD46=1,$G46,1)</f>
        <v>1</v>
      </c>
      <c r="AJ46" s="18" t="n">
        <f aca="false">IF($AD46=1,$V46,1)</f>
        <v>1</v>
      </c>
      <c r="AK46" s="18" t="n">
        <f aca="false">IF($AD46=1,$Y46,1)</f>
        <v>1</v>
      </c>
    </row>
    <row r="47" customFormat="false" ht="15" hidden="false" customHeight="false" outlineLevel="0" collapsed="false">
      <c r="A47" s="10"/>
      <c r="B47" s="10"/>
      <c r="C47" s="12"/>
      <c r="D47" s="17"/>
      <c r="E47" s="13"/>
      <c r="F47" s="21"/>
      <c r="G47" s="12"/>
      <c r="H47" s="12"/>
      <c r="I47" s="12"/>
      <c r="J47" s="12"/>
      <c r="K47" s="12"/>
      <c r="L47" s="12"/>
      <c r="M47" s="15"/>
      <c r="N47" s="15"/>
      <c r="O47" s="12"/>
      <c r="P47" s="17"/>
      <c r="Q47" s="22" t="str">
        <f aca="false">IF(OR($G47="",Setup!$B$5=""),"",Setup!$B$5/$G47)</f>
        <v/>
      </c>
      <c r="R47" s="23" t="str">
        <f aca="false">IF(OR($E47="",$Q47=""),"",1-(1-$E47)^$Q47)</f>
        <v/>
      </c>
      <c r="S47" s="22" t="str">
        <f aca="false">IF(OR($R47="",$H47=""),"",$H47*$R47)</f>
        <v/>
      </c>
      <c r="T47" s="23" t="str">
        <f aca="false">IF(OR($E47="",$I47=""),"",MIN(1,MIN(N($F47),$E47)+($E47-MIN(N($F47),$E47))*(1-$I47)))</f>
        <v/>
      </c>
      <c r="U47" s="23" t="str">
        <f aca="false">IF(OR($T47="",$Q47=""),"",1-(1-$T47)^$Q47)</f>
        <v/>
      </c>
      <c r="V47" s="23" t="str">
        <f aca="false">IF($M47&lt;&gt;"",$M47,IF($G47="","",MAX(1,(Setup!$B$6/$G47)^Setup!$B$7)))</f>
        <v/>
      </c>
      <c r="W47" s="22" t="str">
        <f aca="false">IF(COUNT($J47:$L47)&lt;3,"",Setup!$B$10*(6-$J47)+Setup!$B$11*$K47+Setup!$B$12*$L47)</f>
        <v/>
      </c>
      <c r="X47" s="23" t="str">
        <f aca="false">IF($W47="","",IF(LEFT(Setup!$B$15,1)="B",EXP(Setup!$B$14*($W47-1)),1+Setup!$B$14*($W47-1)))</f>
        <v/>
      </c>
      <c r="Y47" s="23" t="str">
        <f aca="false">IF($N47&lt;&gt;"",$N47,$X47)</f>
        <v/>
      </c>
      <c r="Z47" s="22" t="str">
        <f aca="false">IF(OR($H47="",$U47="",$V47=""),"",$H47*$U47*$V47)</f>
        <v/>
      </c>
      <c r="AA47" s="22" t="str">
        <f aca="false">IF(OR($Z47="",$Y47=""),"",$Z47*$Y47)</f>
        <v/>
      </c>
      <c r="AB47" s="1" t="str">
        <f aca="false">IF($A47="","",IF(OR($E47="",$G47="",$H47="",$I47="",AND($N47="",COUNT($J47:$L47)&lt;3)),"Missing: "&amp;IF($E47="","P ","")&amp;IF($G47="","T ","")&amp;IF($H47="","I ","")&amp;IF($I47="","C ","")&amp;IF(AND($N47="",COUNT($J47:$L47)&lt;3),"C_ctrl/C_ext/C_irr",""),IF(N($F47)&gt;$E47,"P_floor &gt; P (floor capped at P)","OK")))</f>
        <v/>
      </c>
      <c r="AC47" s="1" t="str">
        <f aca="false">IF($AA47="","",$AA47+ROW()/1000000)</f>
        <v/>
      </c>
      <c r="AD47" s="18" t="n">
        <f aca="false">IF(AND($A47&lt;&gt;"",ISNUMBER($AA47)),1,0)</f>
        <v>0</v>
      </c>
      <c r="AE47" s="18" t="n">
        <f aca="false">IF($AD47=1,$H47,0)</f>
        <v>0</v>
      </c>
      <c r="AF47" s="18" t="n">
        <f aca="false">IF($AD47=1,$E47,0)</f>
        <v>0</v>
      </c>
      <c r="AG47" s="18" t="n">
        <f aca="false">IF($AD47=1,MIN(N($F47),$E47),0)</f>
        <v>0</v>
      </c>
      <c r="AH47" s="18" t="n">
        <f aca="false">IF($AD47=1,$I47,0)</f>
        <v>0</v>
      </c>
      <c r="AI47" s="18" t="n">
        <f aca="false">IF($AD47=1,$G47,1)</f>
        <v>1</v>
      </c>
      <c r="AJ47" s="18" t="n">
        <f aca="false">IF($AD47=1,$V47,1)</f>
        <v>1</v>
      </c>
      <c r="AK47" s="18" t="n">
        <f aca="false">IF($AD47=1,$Y47,1)</f>
        <v>1</v>
      </c>
    </row>
    <row r="48" customFormat="false" ht="15" hidden="false" customHeight="false" outlineLevel="0" collapsed="false">
      <c r="A48" s="10"/>
      <c r="B48" s="10"/>
      <c r="C48" s="12"/>
      <c r="D48" s="17"/>
      <c r="E48" s="13"/>
      <c r="F48" s="21"/>
      <c r="G48" s="12"/>
      <c r="H48" s="12"/>
      <c r="I48" s="12"/>
      <c r="J48" s="12"/>
      <c r="K48" s="12"/>
      <c r="L48" s="12"/>
      <c r="M48" s="15"/>
      <c r="N48" s="15"/>
      <c r="O48" s="12"/>
      <c r="P48" s="17"/>
      <c r="Q48" s="22" t="str">
        <f aca="false">IF(OR($G48="",Setup!$B$5=""),"",Setup!$B$5/$G48)</f>
        <v/>
      </c>
      <c r="R48" s="23" t="str">
        <f aca="false">IF(OR($E48="",$Q48=""),"",1-(1-$E48)^$Q48)</f>
        <v/>
      </c>
      <c r="S48" s="22" t="str">
        <f aca="false">IF(OR($R48="",$H48=""),"",$H48*$R48)</f>
        <v/>
      </c>
      <c r="T48" s="23" t="str">
        <f aca="false">IF(OR($E48="",$I48=""),"",MIN(1,MIN(N($F48),$E48)+($E48-MIN(N($F48),$E48))*(1-$I48)))</f>
        <v/>
      </c>
      <c r="U48" s="23" t="str">
        <f aca="false">IF(OR($T48="",$Q48=""),"",1-(1-$T48)^$Q48)</f>
        <v/>
      </c>
      <c r="V48" s="23" t="str">
        <f aca="false">IF($M48&lt;&gt;"",$M48,IF($G48="","",MAX(1,(Setup!$B$6/$G48)^Setup!$B$7)))</f>
        <v/>
      </c>
      <c r="W48" s="22" t="str">
        <f aca="false">IF(COUNT($J48:$L48)&lt;3,"",Setup!$B$10*(6-$J48)+Setup!$B$11*$K48+Setup!$B$12*$L48)</f>
        <v/>
      </c>
      <c r="X48" s="23" t="str">
        <f aca="false">IF($W48="","",IF(LEFT(Setup!$B$15,1)="B",EXP(Setup!$B$14*($W48-1)),1+Setup!$B$14*($W48-1)))</f>
        <v/>
      </c>
      <c r="Y48" s="23" t="str">
        <f aca="false">IF($N48&lt;&gt;"",$N48,$X48)</f>
        <v/>
      </c>
      <c r="Z48" s="22" t="str">
        <f aca="false">IF(OR($H48="",$U48="",$V48=""),"",$H48*$U48*$V48)</f>
        <v/>
      </c>
      <c r="AA48" s="22" t="str">
        <f aca="false">IF(OR($Z48="",$Y48=""),"",$Z48*$Y48)</f>
        <v/>
      </c>
      <c r="AB48" s="1" t="str">
        <f aca="false">IF($A48="","",IF(OR($E48="",$G48="",$H48="",$I48="",AND($N48="",COUNT($J48:$L48)&lt;3)),"Missing: "&amp;IF($E48="","P ","")&amp;IF($G48="","T ","")&amp;IF($H48="","I ","")&amp;IF($I48="","C ","")&amp;IF(AND($N48="",COUNT($J48:$L48)&lt;3),"C_ctrl/C_ext/C_irr",""),IF(N($F48)&gt;$E48,"P_floor &gt; P (floor capped at P)","OK")))</f>
        <v/>
      </c>
      <c r="AC48" s="1" t="str">
        <f aca="false">IF($AA48="","",$AA48+ROW()/1000000)</f>
        <v/>
      </c>
      <c r="AD48" s="18" t="n">
        <f aca="false">IF(AND($A48&lt;&gt;"",ISNUMBER($AA48)),1,0)</f>
        <v>0</v>
      </c>
      <c r="AE48" s="18" t="n">
        <f aca="false">IF($AD48=1,$H48,0)</f>
        <v>0</v>
      </c>
      <c r="AF48" s="18" t="n">
        <f aca="false">IF($AD48=1,$E48,0)</f>
        <v>0</v>
      </c>
      <c r="AG48" s="18" t="n">
        <f aca="false">IF($AD48=1,MIN(N($F48),$E48),0)</f>
        <v>0</v>
      </c>
      <c r="AH48" s="18" t="n">
        <f aca="false">IF($AD48=1,$I48,0)</f>
        <v>0</v>
      </c>
      <c r="AI48" s="18" t="n">
        <f aca="false">IF($AD48=1,$G48,1)</f>
        <v>1</v>
      </c>
      <c r="AJ48" s="18" t="n">
        <f aca="false">IF($AD48=1,$V48,1)</f>
        <v>1</v>
      </c>
      <c r="AK48" s="18" t="n">
        <f aca="false">IF($AD48=1,$Y48,1)</f>
        <v>1</v>
      </c>
    </row>
    <row r="49" customFormat="false" ht="15" hidden="false" customHeight="false" outlineLevel="0" collapsed="false">
      <c r="A49" s="10"/>
      <c r="B49" s="10"/>
      <c r="C49" s="12"/>
      <c r="D49" s="17"/>
      <c r="E49" s="13"/>
      <c r="F49" s="21"/>
      <c r="G49" s="12"/>
      <c r="H49" s="12"/>
      <c r="I49" s="12"/>
      <c r="J49" s="12"/>
      <c r="K49" s="12"/>
      <c r="L49" s="12"/>
      <c r="M49" s="15"/>
      <c r="N49" s="15"/>
      <c r="O49" s="12"/>
      <c r="P49" s="17"/>
      <c r="Q49" s="22" t="str">
        <f aca="false">IF(OR($G49="",Setup!$B$5=""),"",Setup!$B$5/$G49)</f>
        <v/>
      </c>
      <c r="R49" s="23" t="str">
        <f aca="false">IF(OR($E49="",$Q49=""),"",1-(1-$E49)^$Q49)</f>
        <v/>
      </c>
      <c r="S49" s="22" t="str">
        <f aca="false">IF(OR($R49="",$H49=""),"",$H49*$R49)</f>
        <v/>
      </c>
      <c r="T49" s="23" t="str">
        <f aca="false">IF(OR($E49="",$I49=""),"",MIN(1,MIN(N($F49),$E49)+($E49-MIN(N($F49),$E49))*(1-$I49)))</f>
        <v/>
      </c>
      <c r="U49" s="23" t="str">
        <f aca="false">IF(OR($T49="",$Q49=""),"",1-(1-$T49)^$Q49)</f>
        <v/>
      </c>
      <c r="V49" s="23" t="str">
        <f aca="false">IF($M49&lt;&gt;"",$M49,IF($G49="","",MAX(1,(Setup!$B$6/$G49)^Setup!$B$7)))</f>
        <v/>
      </c>
      <c r="W49" s="22" t="str">
        <f aca="false">IF(COUNT($J49:$L49)&lt;3,"",Setup!$B$10*(6-$J49)+Setup!$B$11*$K49+Setup!$B$12*$L49)</f>
        <v/>
      </c>
      <c r="X49" s="23" t="str">
        <f aca="false">IF($W49="","",IF(LEFT(Setup!$B$15,1)="B",EXP(Setup!$B$14*($W49-1)),1+Setup!$B$14*($W49-1)))</f>
        <v/>
      </c>
      <c r="Y49" s="23" t="str">
        <f aca="false">IF($N49&lt;&gt;"",$N49,$X49)</f>
        <v/>
      </c>
      <c r="Z49" s="22" t="str">
        <f aca="false">IF(OR($H49="",$U49="",$V49=""),"",$H49*$U49*$V49)</f>
        <v/>
      </c>
      <c r="AA49" s="22" t="str">
        <f aca="false">IF(OR($Z49="",$Y49=""),"",$Z49*$Y49)</f>
        <v/>
      </c>
      <c r="AB49" s="1" t="str">
        <f aca="false">IF($A49="","",IF(OR($E49="",$G49="",$H49="",$I49="",AND($N49="",COUNT($J49:$L49)&lt;3)),"Missing: "&amp;IF($E49="","P ","")&amp;IF($G49="","T ","")&amp;IF($H49="","I ","")&amp;IF($I49="","C ","")&amp;IF(AND($N49="",COUNT($J49:$L49)&lt;3),"C_ctrl/C_ext/C_irr",""),IF(N($F49)&gt;$E49,"P_floor &gt; P (floor capped at P)","OK")))</f>
        <v/>
      </c>
      <c r="AC49" s="1" t="str">
        <f aca="false">IF($AA49="","",$AA49+ROW()/1000000)</f>
        <v/>
      </c>
      <c r="AD49" s="18" t="n">
        <f aca="false">IF(AND($A49&lt;&gt;"",ISNUMBER($AA49)),1,0)</f>
        <v>0</v>
      </c>
      <c r="AE49" s="18" t="n">
        <f aca="false">IF($AD49=1,$H49,0)</f>
        <v>0</v>
      </c>
      <c r="AF49" s="18" t="n">
        <f aca="false">IF($AD49=1,$E49,0)</f>
        <v>0</v>
      </c>
      <c r="AG49" s="18" t="n">
        <f aca="false">IF($AD49=1,MIN(N($F49),$E49),0)</f>
        <v>0</v>
      </c>
      <c r="AH49" s="18" t="n">
        <f aca="false">IF($AD49=1,$I49,0)</f>
        <v>0</v>
      </c>
      <c r="AI49" s="18" t="n">
        <f aca="false">IF($AD49=1,$G49,1)</f>
        <v>1</v>
      </c>
      <c r="AJ49" s="18" t="n">
        <f aca="false">IF($AD49=1,$V49,1)</f>
        <v>1</v>
      </c>
      <c r="AK49" s="18" t="n">
        <f aca="false">IF($AD49=1,$Y49,1)</f>
        <v>1</v>
      </c>
    </row>
    <row r="50" customFormat="false" ht="15" hidden="false" customHeight="false" outlineLevel="0" collapsed="false">
      <c r="A50" s="10"/>
      <c r="B50" s="10"/>
      <c r="C50" s="12"/>
      <c r="D50" s="17"/>
      <c r="E50" s="13"/>
      <c r="F50" s="21"/>
      <c r="G50" s="12"/>
      <c r="H50" s="12"/>
      <c r="I50" s="12"/>
      <c r="J50" s="12"/>
      <c r="K50" s="12"/>
      <c r="L50" s="12"/>
      <c r="M50" s="15"/>
      <c r="N50" s="15"/>
      <c r="O50" s="12"/>
      <c r="P50" s="17"/>
      <c r="Q50" s="22" t="str">
        <f aca="false">IF(OR($G50="",Setup!$B$5=""),"",Setup!$B$5/$G50)</f>
        <v/>
      </c>
      <c r="R50" s="23" t="str">
        <f aca="false">IF(OR($E50="",$Q50=""),"",1-(1-$E50)^$Q50)</f>
        <v/>
      </c>
      <c r="S50" s="22" t="str">
        <f aca="false">IF(OR($R50="",$H50=""),"",$H50*$R50)</f>
        <v/>
      </c>
      <c r="T50" s="23" t="str">
        <f aca="false">IF(OR($E50="",$I50=""),"",MIN(1,MIN(N($F50),$E50)+($E50-MIN(N($F50),$E50))*(1-$I50)))</f>
        <v/>
      </c>
      <c r="U50" s="23" t="str">
        <f aca="false">IF(OR($T50="",$Q50=""),"",1-(1-$T50)^$Q50)</f>
        <v/>
      </c>
      <c r="V50" s="23" t="str">
        <f aca="false">IF($M50&lt;&gt;"",$M50,IF($G50="","",MAX(1,(Setup!$B$6/$G50)^Setup!$B$7)))</f>
        <v/>
      </c>
      <c r="W50" s="22" t="str">
        <f aca="false">IF(COUNT($J50:$L50)&lt;3,"",Setup!$B$10*(6-$J50)+Setup!$B$11*$K50+Setup!$B$12*$L50)</f>
        <v/>
      </c>
      <c r="X50" s="23" t="str">
        <f aca="false">IF($W50="","",IF(LEFT(Setup!$B$15,1)="B",EXP(Setup!$B$14*($W50-1)),1+Setup!$B$14*($W50-1)))</f>
        <v/>
      </c>
      <c r="Y50" s="23" t="str">
        <f aca="false">IF($N50&lt;&gt;"",$N50,$X50)</f>
        <v/>
      </c>
      <c r="Z50" s="22" t="str">
        <f aca="false">IF(OR($H50="",$U50="",$V50=""),"",$H50*$U50*$V50)</f>
        <v/>
      </c>
      <c r="AA50" s="22" t="str">
        <f aca="false">IF(OR($Z50="",$Y50=""),"",$Z50*$Y50)</f>
        <v/>
      </c>
      <c r="AB50" s="1" t="str">
        <f aca="false">IF($A50="","",IF(OR($E50="",$G50="",$H50="",$I50="",AND($N50="",COUNT($J50:$L50)&lt;3)),"Missing: "&amp;IF($E50="","P ","")&amp;IF($G50="","T ","")&amp;IF($H50="","I ","")&amp;IF($I50="","C ","")&amp;IF(AND($N50="",COUNT($J50:$L50)&lt;3),"C_ctrl/C_ext/C_irr",""),IF(N($F50)&gt;$E50,"P_floor &gt; P (floor capped at P)","OK")))</f>
        <v/>
      </c>
      <c r="AC50" s="1" t="str">
        <f aca="false">IF($AA50="","",$AA50+ROW()/1000000)</f>
        <v/>
      </c>
      <c r="AD50" s="18" t="n">
        <f aca="false">IF(AND($A50&lt;&gt;"",ISNUMBER($AA50)),1,0)</f>
        <v>0</v>
      </c>
      <c r="AE50" s="18" t="n">
        <f aca="false">IF($AD50=1,$H50,0)</f>
        <v>0</v>
      </c>
      <c r="AF50" s="18" t="n">
        <f aca="false">IF($AD50=1,$E50,0)</f>
        <v>0</v>
      </c>
      <c r="AG50" s="18" t="n">
        <f aca="false">IF($AD50=1,MIN(N($F50),$E50),0)</f>
        <v>0</v>
      </c>
      <c r="AH50" s="18" t="n">
        <f aca="false">IF($AD50=1,$I50,0)</f>
        <v>0</v>
      </c>
      <c r="AI50" s="18" t="n">
        <f aca="false">IF($AD50=1,$G50,1)</f>
        <v>1</v>
      </c>
      <c r="AJ50" s="18" t="n">
        <f aca="false">IF($AD50=1,$V50,1)</f>
        <v>1</v>
      </c>
      <c r="AK50" s="18" t="n">
        <f aca="false">IF($AD50=1,$Y50,1)</f>
        <v>1</v>
      </c>
    </row>
    <row r="51" customFormat="false" ht="15" hidden="false" customHeight="false" outlineLevel="0" collapsed="false">
      <c r="A51" s="10"/>
      <c r="B51" s="10"/>
      <c r="C51" s="12"/>
      <c r="D51" s="17"/>
      <c r="E51" s="13"/>
      <c r="F51" s="21"/>
      <c r="G51" s="12"/>
      <c r="H51" s="12"/>
      <c r="I51" s="12"/>
      <c r="J51" s="12"/>
      <c r="K51" s="12"/>
      <c r="L51" s="12"/>
      <c r="M51" s="15"/>
      <c r="N51" s="15"/>
      <c r="O51" s="12"/>
      <c r="P51" s="17"/>
      <c r="Q51" s="22" t="str">
        <f aca="false">IF(OR($G51="",Setup!$B$5=""),"",Setup!$B$5/$G51)</f>
        <v/>
      </c>
      <c r="R51" s="23" t="str">
        <f aca="false">IF(OR($E51="",$Q51=""),"",1-(1-$E51)^$Q51)</f>
        <v/>
      </c>
      <c r="S51" s="22" t="str">
        <f aca="false">IF(OR($R51="",$H51=""),"",$H51*$R51)</f>
        <v/>
      </c>
      <c r="T51" s="23" t="str">
        <f aca="false">IF(OR($E51="",$I51=""),"",MIN(1,MIN(N($F51),$E51)+($E51-MIN(N($F51),$E51))*(1-$I51)))</f>
        <v/>
      </c>
      <c r="U51" s="23" t="str">
        <f aca="false">IF(OR($T51="",$Q51=""),"",1-(1-$T51)^$Q51)</f>
        <v/>
      </c>
      <c r="V51" s="23" t="str">
        <f aca="false">IF($M51&lt;&gt;"",$M51,IF($G51="","",MAX(1,(Setup!$B$6/$G51)^Setup!$B$7)))</f>
        <v/>
      </c>
      <c r="W51" s="22" t="str">
        <f aca="false">IF(COUNT($J51:$L51)&lt;3,"",Setup!$B$10*(6-$J51)+Setup!$B$11*$K51+Setup!$B$12*$L51)</f>
        <v/>
      </c>
      <c r="X51" s="23" t="str">
        <f aca="false">IF($W51="","",IF(LEFT(Setup!$B$15,1)="B",EXP(Setup!$B$14*($W51-1)),1+Setup!$B$14*($W51-1)))</f>
        <v/>
      </c>
      <c r="Y51" s="23" t="str">
        <f aca="false">IF($N51&lt;&gt;"",$N51,$X51)</f>
        <v/>
      </c>
      <c r="Z51" s="22" t="str">
        <f aca="false">IF(OR($H51="",$U51="",$V51=""),"",$H51*$U51*$V51)</f>
        <v/>
      </c>
      <c r="AA51" s="22" t="str">
        <f aca="false">IF(OR($Z51="",$Y51=""),"",$Z51*$Y51)</f>
        <v/>
      </c>
      <c r="AB51" s="1" t="str">
        <f aca="false">IF($A51="","",IF(OR($E51="",$G51="",$H51="",$I51="",AND($N51="",COUNT($J51:$L51)&lt;3)),"Missing: "&amp;IF($E51="","P ","")&amp;IF($G51="","T ","")&amp;IF($H51="","I ","")&amp;IF($I51="","C ","")&amp;IF(AND($N51="",COUNT($J51:$L51)&lt;3),"C_ctrl/C_ext/C_irr",""),IF(N($F51)&gt;$E51,"P_floor &gt; P (floor capped at P)","OK")))</f>
        <v/>
      </c>
      <c r="AC51" s="1" t="str">
        <f aca="false">IF($AA51="","",$AA51+ROW()/1000000)</f>
        <v/>
      </c>
      <c r="AD51" s="18" t="n">
        <f aca="false">IF(AND($A51&lt;&gt;"",ISNUMBER($AA51)),1,0)</f>
        <v>0</v>
      </c>
      <c r="AE51" s="18" t="n">
        <f aca="false">IF($AD51=1,$H51,0)</f>
        <v>0</v>
      </c>
      <c r="AF51" s="18" t="n">
        <f aca="false">IF($AD51=1,$E51,0)</f>
        <v>0</v>
      </c>
      <c r="AG51" s="18" t="n">
        <f aca="false">IF($AD51=1,MIN(N($F51),$E51),0)</f>
        <v>0</v>
      </c>
      <c r="AH51" s="18" t="n">
        <f aca="false">IF($AD51=1,$I51,0)</f>
        <v>0</v>
      </c>
      <c r="AI51" s="18" t="n">
        <f aca="false">IF($AD51=1,$G51,1)</f>
        <v>1</v>
      </c>
      <c r="AJ51" s="18" t="n">
        <f aca="false">IF($AD51=1,$V51,1)</f>
        <v>1</v>
      </c>
      <c r="AK51" s="18" t="n">
        <f aca="false">IF($AD51=1,$Y51,1)</f>
        <v>1</v>
      </c>
    </row>
    <row r="52" customFormat="false" ht="15" hidden="false" customHeight="false" outlineLevel="0" collapsed="false">
      <c r="A52" s="10"/>
      <c r="B52" s="10"/>
      <c r="C52" s="12"/>
      <c r="D52" s="17"/>
      <c r="E52" s="13"/>
      <c r="F52" s="21"/>
      <c r="G52" s="12"/>
      <c r="H52" s="12"/>
      <c r="I52" s="12"/>
      <c r="J52" s="12"/>
      <c r="K52" s="12"/>
      <c r="L52" s="12"/>
      <c r="M52" s="15"/>
      <c r="N52" s="15"/>
      <c r="O52" s="12"/>
      <c r="P52" s="17"/>
      <c r="Q52" s="22" t="str">
        <f aca="false">IF(OR($G52="",Setup!$B$5=""),"",Setup!$B$5/$G52)</f>
        <v/>
      </c>
      <c r="R52" s="23" t="str">
        <f aca="false">IF(OR($E52="",$Q52=""),"",1-(1-$E52)^$Q52)</f>
        <v/>
      </c>
      <c r="S52" s="22" t="str">
        <f aca="false">IF(OR($R52="",$H52=""),"",$H52*$R52)</f>
        <v/>
      </c>
      <c r="T52" s="23" t="str">
        <f aca="false">IF(OR($E52="",$I52=""),"",MIN(1,MIN(N($F52),$E52)+($E52-MIN(N($F52),$E52))*(1-$I52)))</f>
        <v/>
      </c>
      <c r="U52" s="23" t="str">
        <f aca="false">IF(OR($T52="",$Q52=""),"",1-(1-$T52)^$Q52)</f>
        <v/>
      </c>
      <c r="V52" s="23" t="str">
        <f aca="false">IF($M52&lt;&gt;"",$M52,IF($G52="","",MAX(1,(Setup!$B$6/$G52)^Setup!$B$7)))</f>
        <v/>
      </c>
      <c r="W52" s="22" t="str">
        <f aca="false">IF(COUNT($J52:$L52)&lt;3,"",Setup!$B$10*(6-$J52)+Setup!$B$11*$K52+Setup!$B$12*$L52)</f>
        <v/>
      </c>
      <c r="X52" s="23" t="str">
        <f aca="false">IF($W52="","",IF(LEFT(Setup!$B$15,1)="B",EXP(Setup!$B$14*($W52-1)),1+Setup!$B$14*($W52-1)))</f>
        <v/>
      </c>
      <c r="Y52" s="23" t="str">
        <f aca="false">IF($N52&lt;&gt;"",$N52,$X52)</f>
        <v/>
      </c>
      <c r="Z52" s="22" t="str">
        <f aca="false">IF(OR($H52="",$U52="",$V52=""),"",$H52*$U52*$V52)</f>
        <v/>
      </c>
      <c r="AA52" s="22" t="str">
        <f aca="false">IF(OR($Z52="",$Y52=""),"",$Z52*$Y52)</f>
        <v/>
      </c>
      <c r="AB52" s="1" t="str">
        <f aca="false">IF($A52="","",IF(OR($E52="",$G52="",$H52="",$I52="",AND($N52="",COUNT($J52:$L52)&lt;3)),"Missing: "&amp;IF($E52="","P ","")&amp;IF($G52="","T ","")&amp;IF($H52="","I ","")&amp;IF($I52="","C ","")&amp;IF(AND($N52="",COUNT($J52:$L52)&lt;3),"C_ctrl/C_ext/C_irr",""),IF(N($F52)&gt;$E52,"P_floor &gt; P (floor capped at P)","OK")))</f>
        <v/>
      </c>
      <c r="AC52" s="1" t="str">
        <f aca="false">IF($AA52="","",$AA52+ROW()/1000000)</f>
        <v/>
      </c>
      <c r="AD52" s="18" t="n">
        <f aca="false">IF(AND($A52&lt;&gt;"",ISNUMBER($AA52)),1,0)</f>
        <v>0</v>
      </c>
      <c r="AE52" s="18" t="n">
        <f aca="false">IF($AD52=1,$H52,0)</f>
        <v>0</v>
      </c>
      <c r="AF52" s="18" t="n">
        <f aca="false">IF($AD52=1,$E52,0)</f>
        <v>0</v>
      </c>
      <c r="AG52" s="18" t="n">
        <f aca="false">IF($AD52=1,MIN(N($F52),$E52),0)</f>
        <v>0</v>
      </c>
      <c r="AH52" s="18" t="n">
        <f aca="false">IF($AD52=1,$I52,0)</f>
        <v>0</v>
      </c>
      <c r="AI52" s="18" t="n">
        <f aca="false">IF($AD52=1,$G52,1)</f>
        <v>1</v>
      </c>
      <c r="AJ52" s="18" t="n">
        <f aca="false">IF($AD52=1,$V52,1)</f>
        <v>1</v>
      </c>
      <c r="AK52" s="18" t="n">
        <f aca="false">IF($AD52=1,$Y52,1)</f>
        <v>1</v>
      </c>
    </row>
    <row r="53" customFormat="false" ht="15" hidden="false" customHeight="false" outlineLevel="0" collapsed="false">
      <c r="A53" s="10"/>
      <c r="B53" s="10"/>
      <c r="C53" s="12"/>
      <c r="D53" s="17"/>
      <c r="E53" s="13"/>
      <c r="F53" s="21"/>
      <c r="G53" s="12"/>
      <c r="H53" s="12"/>
      <c r="I53" s="12"/>
      <c r="J53" s="12"/>
      <c r="K53" s="12"/>
      <c r="L53" s="12"/>
      <c r="M53" s="15"/>
      <c r="N53" s="15"/>
      <c r="O53" s="12"/>
      <c r="P53" s="17"/>
      <c r="Q53" s="22" t="str">
        <f aca="false">IF(OR($G53="",Setup!$B$5=""),"",Setup!$B$5/$G53)</f>
        <v/>
      </c>
      <c r="R53" s="23" t="str">
        <f aca="false">IF(OR($E53="",$Q53=""),"",1-(1-$E53)^$Q53)</f>
        <v/>
      </c>
      <c r="S53" s="22" t="str">
        <f aca="false">IF(OR($R53="",$H53=""),"",$H53*$R53)</f>
        <v/>
      </c>
      <c r="T53" s="23" t="str">
        <f aca="false">IF(OR($E53="",$I53=""),"",MIN(1,MIN(N($F53),$E53)+($E53-MIN(N($F53),$E53))*(1-$I53)))</f>
        <v/>
      </c>
      <c r="U53" s="23" t="str">
        <f aca="false">IF(OR($T53="",$Q53=""),"",1-(1-$T53)^$Q53)</f>
        <v/>
      </c>
      <c r="V53" s="23" t="str">
        <f aca="false">IF($M53&lt;&gt;"",$M53,IF($G53="","",MAX(1,(Setup!$B$6/$G53)^Setup!$B$7)))</f>
        <v/>
      </c>
      <c r="W53" s="22" t="str">
        <f aca="false">IF(COUNT($J53:$L53)&lt;3,"",Setup!$B$10*(6-$J53)+Setup!$B$11*$K53+Setup!$B$12*$L53)</f>
        <v/>
      </c>
      <c r="X53" s="23" t="str">
        <f aca="false">IF($W53="","",IF(LEFT(Setup!$B$15,1)="B",EXP(Setup!$B$14*($W53-1)),1+Setup!$B$14*($W53-1)))</f>
        <v/>
      </c>
      <c r="Y53" s="23" t="str">
        <f aca="false">IF($N53&lt;&gt;"",$N53,$X53)</f>
        <v/>
      </c>
      <c r="Z53" s="22" t="str">
        <f aca="false">IF(OR($H53="",$U53="",$V53=""),"",$H53*$U53*$V53)</f>
        <v/>
      </c>
      <c r="AA53" s="22" t="str">
        <f aca="false">IF(OR($Z53="",$Y53=""),"",$Z53*$Y53)</f>
        <v/>
      </c>
      <c r="AB53" s="1" t="str">
        <f aca="false">IF($A53="","",IF(OR($E53="",$G53="",$H53="",$I53="",AND($N53="",COUNT($J53:$L53)&lt;3)),"Missing: "&amp;IF($E53="","P ","")&amp;IF($G53="","T ","")&amp;IF($H53="","I ","")&amp;IF($I53="","C ","")&amp;IF(AND($N53="",COUNT($J53:$L53)&lt;3),"C_ctrl/C_ext/C_irr",""),IF(N($F53)&gt;$E53,"P_floor &gt; P (floor capped at P)","OK")))</f>
        <v/>
      </c>
      <c r="AC53" s="1" t="str">
        <f aca="false">IF($AA53="","",$AA53+ROW()/1000000)</f>
        <v/>
      </c>
      <c r="AD53" s="18" t="n">
        <f aca="false">IF(AND($A53&lt;&gt;"",ISNUMBER($AA53)),1,0)</f>
        <v>0</v>
      </c>
      <c r="AE53" s="18" t="n">
        <f aca="false">IF($AD53=1,$H53,0)</f>
        <v>0</v>
      </c>
      <c r="AF53" s="18" t="n">
        <f aca="false">IF($AD53=1,$E53,0)</f>
        <v>0</v>
      </c>
      <c r="AG53" s="18" t="n">
        <f aca="false">IF($AD53=1,MIN(N($F53),$E53),0)</f>
        <v>0</v>
      </c>
      <c r="AH53" s="18" t="n">
        <f aca="false">IF($AD53=1,$I53,0)</f>
        <v>0</v>
      </c>
      <c r="AI53" s="18" t="n">
        <f aca="false">IF($AD53=1,$G53,1)</f>
        <v>1</v>
      </c>
      <c r="AJ53" s="18" t="n">
        <f aca="false">IF($AD53=1,$V53,1)</f>
        <v>1</v>
      </c>
      <c r="AK53" s="18" t="n">
        <f aca="false">IF($AD53=1,$Y53,1)</f>
        <v>1</v>
      </c>
    </row>
    <row r="54" customFormat="false" ht="15" hidden="false" customHeight="false" outlineLevel="0" collapsed="false">
      <c r="A54" s="10"/>
      <c r="B54" s="10"/>
      <c r="C54" s="12"/>
      <c r="D54" s="17"/>
      <c r="E54" s="13"/>
      <c r="F54" s="21"/>
      <c r="G54" s="12"/>
      <c r="H54" s="12"/>
      <c r="I54" s="12"/>
      <c r="J54" s="12"/>
      <c r="K54" s="12"/>
      <c r="L54" s="12"/>
      <c r="M54" s="15"/>
      <c r="N54" s="15"/>
      <c r="O54" s="12"/>
      <c r="P54" s="17"/>
      <c r="Q54" s="22" t="str">
        <f aca="false">IF(OR($G54="",Setup!$B$5=""),"",Setup!$B$5/$G54)</f>
        <v/>
      </c>
      <c r="R54" s="23" t="str">
        <f aca="false">IF(OR($E54="",$Q54=""),"",1-(1-$E54)^$Q54)</f>
        <v/>
      </c>
      <c r="S54" s="22" t="str">
        <f aca="false">IF(OR($R54="",$H54=""),"",$H54*$R54)</f>
        <v/>
      </c>
      <c r="T54" s="23" t="str">
        <f aca="false">IF(OR($E54="",$I54=""),"",MIN(1,MIN(N($F54),$E54)+($E54-MIN(N($F54),$E54))*(1-$I54)))</f>
        <v/>
      </c>
      <c r="U54" s="23" t="str">
        <f aca="false">IF(OR($T54="",$Q54=""),"",1-(1-$T54)^$Q54)</f>
        <v/>
      </c>
      <c r="V54" s="23" t="str">
        <f aca="false">IF($M54&lt;&gt;"",$M54,IF($G54="","",MAX(1,(Setup!$B$6/$G54)^Setup!$B$7)))</f>
        <v/>
      </c>
      <c r="W54" s="22" t="str">
        <f aca="false">IF(COUNT($J54:$L54)&lt;3,"",Setup!$B$10*(6-$J54)+Setup!$B$11*$K54+Setup!$B$12*$L54)</f>
        <v/>
      </c>
      <c r="X54" s="23" t="str">
        <f aca="false">IF($W54="","",IF(LEFT(Setup!$B$15,1)="B",EXP(Setup!$B$14*($W54-1)),1+Setup!$B$14*($W54-1)))</f>
        <v/>
      </c>
      <c r="Y54" s="23" t="str">
        <f aca="false">IF($N54&lt;&gt;"",$N54,$X54)</f>
        <v/>
      </c>
      <c r="Z54" s="22" t="str">
        <f aca="false">IF(OR($H54="",$U54="",$V54=""),"",$H54*$U54*$V54)</f>
        <v/>
      </c>
      <c r="AA54" s="22" t="str">
        <f aca="false">IF(OR($Z54="",$Y54=""),"",$Z54*$Y54)</f>
        <v/>
      </c>
      <c r="AB54" s="1" t="str">
        <f aca="false">IF($A54="","",IF(OR($E54="",$G54="",$H54="",$I54="",AND($N54="",COUNT($J54:$L54)&lt;3)),"Missing: "&amp;IF($E54="","P ","")&amp;IF($G54="","T ","")&amp;IF($H54="","I ","")&amp;IF($I54="","C ","")&amp;IF(AND($N54="",COUNT($J54:$L54)&lt;3),"C_ctrl/C_ext/C_irr",""),IF(N($F54)&gt;$E54,"P_floor &gt; P (floor capped at P)","OK")))</f>
        <v/>
      </c>
      <c r="AC54" s="1" t="str">
        <f aca="false">IF($AA54="","",$AA54+ROW()/1000000)</f>
        <v/>
      </c>
      <c r="AD54" s="18" t="n">
        <f aca="false">IF(AND($A54&lt;&gt;"",ISNUMBER($AA54)),1,0)</f>
        <v>0</v>
      </c>
      <c r="AE54" s="18" t="n">
        <f aca="false">IF($AD54=1,$H54,0)</f>
        <v>0</v>
      </c>
      <c r="AF54" s="18" t="n">
        <f aca="false">IF($AD54=1,$E54,0)</f>
        <v>0</v>
      </c>
      <c r="AG54" s="18" t="n">
        <f aca="false">IF($AD54=1,MIN(N($F54),$E54),0)</f>
        <v>0</v>
      </c>
      <c r="AH54" s="18" t="n">
        <f aca="false">IF($AD54=1,$I54,0)</f>
        <v>0</v>
      </c>
      <c r="AI54" s="18" t="n">
        <f aca="false">IF($AD54=1,$G54,1)</f>
        <v>1</v>
      </c>
      <c r="AJ54" s="18" t="n">
        <f aca="false">IF($AD54=1,$V54,1)</f>
        <v>1</v>
      </c>
      <c r="AK54" s="18" t="n">
        <f aca="false">IF($AD54=1,$Y54,1)</f>
        <v>1</v>
      </c>
    </row>
    <row r="55" customFormat="false" ht="15" hidden="false" customHeight="false" outlineLevel="0" collapsed="false">
      <c r="A55" s="10"/>
      <c r="B55" s="10"/>
      <c r="C55" s="12"/>
      <c r="D55" s="17"/>
      <c r="E55" s="13"/>
      <c r="F55" s="21"/>
      <c r="G55" s="12"/>
      <c r="H55" s="12"/>
      <c r="I55" s="12"/>
      <c r="J55" s="12"/>
      <c r="K55" s="12"/>
      <c r="L55" s="12"/>
      <c r="M55" s="15"/>
      <c r="N55" s="15"/>
      <c r="O55" s="12"/>
      <c r="P55" s="17"/>
      <c r="Q55" s="22" t="str">
        <f aca="false">IF(OR($G55="",Setup!$B$5=""),"",Setup!$B$5/$G55)</f>
        <v/>
      </c>
      <c r="R55" s="23" t="str">
        <f aca="false">IF(OR($E55="",$Q55=""),"",1-(1-$E55)^$Q55)</f>
        <v/>
      </c>
      <c r="S55" s="22" t="str">
        <f aca="false">IF(OR($R55="",$H55=""),"",$H55*$R55)</f>
        <v/>
      </c>
      <c r="T55" s="23" t="str">
        <f aca="false">IF(OR($E55="",$I55=""),"",MIN(1,MIN(N($F55),$E55)+($E55-MIN(N($F55),$E55))*(1-$I55)))</f>
        <v/>
      </c>
      <c r="U55" s="23" t="str">
        <f aca="false">IF(OR($T55="",$Q55=""),"",1-(1-$T55)^$Q55)</f>
        <v/>
      </c>
      <c r="V55" s="23" t="str">
        <f aca="false">IF($M55&lt;&gt;"",$M55,IF($G55="","",MAX(1,(Setup!$B$6/$G55)^Setup!$B$7)))</f>
        <v/>
      </c>
      <c r="W55" s="22" t="str">
        <f aca="false">IF(COUNT($J55:$L55)&lt;3,"",Setup!$B$10*(6-$J55)+Setup!$B$11*$K55+Setup!$B$12*$L55)</f>
        <v/>
      </c>
      <c r="X55" s="23" t="str">
        <f aca="false">IF($W55="","",IF(LEFT(Setup!$B$15,1)="B",EXP(Setup!$B$14*($W55-1)),1+Setup!$B$14*($W55-1)))</f>
        <v/>
      </c>
      <c r="Y55" s="23" t="str">
        <f aca="false">IF($N55&lt;&gt;"",$N55,$X55)</f>
        <v/>
      </c>
      <c r="Z55" s="22" t="str">
        <f aca="false">IF(OR($H55="",$U55="",$V55=""),"",$H55*$U55*$V55)</f>
        <v/>
      </c>
      <c r="AA55" s="22" t="str">
        <f aca="false">IF(OR($Z55="",$Y55=""),"",$Z55*$Y55)</f>
        <v/>
      </c>
      <c r="AB55" s="1" t="str">
        <f aca="false">IF($A55="","",IF(OR($E55="",$G55="",$H55="",$I55="",AND($N55="",COUNT($J55:$L55)&lt;3)),"Missing: "&amp;IF($E55="","P ","")&amp;IF($G55="","T ","")&amp;IF($H55="","I ","")&amp;IF($I55="","C ","")&amp;IF(AND($N55="",COUNT($J55:$L55)&lt;3),"C_ctrl/C_ext/C_irr",""),IF(N($F55)&gt;$E55,"P_floor &gt; P (floor capped at P)","OK")))</f>
        <v/>
      </c>
      <c r="AC55" s="1" t="str">
        <f aca="false">IF($AA55="","",$AA55+ROW()/1000000)</f>
        <v/>
      </c>
      <c r="AD55" s="18" t="n">
        <f aca="false">IF(AND($A55&lt;&gt;"",ISNUMBER($AA55)),1,0)</f>
        <v>0</v>
      </c>
      <c r="AE55" s="18" t="n">
        <f aca="false">IF($AD55=1,$H55,0)</f>
        <v>0</v>
      </c>
      <c r="AF55" s="18" t="n">
        <f aca="false">IF($AD55=1,$E55,0)</f>
        <v>0</v>
      </c>
      <c r="AG55" s="18" t="n">
        <f aca="false">IF($AD55=1,MIN(N($F55),$E55),0)</f>
        <v>0</v>
      </c>
      <c r="AH55" s="18" t="n">
        <f aca="false">IF($AD55=1,$I55,0)</f>
        <v>0</v>
      </c>
      <c r="AI55" s="18" t="n">
        <f aca="false">IF($AD55=1,$G55,1)</f>
        <v>1</v>
      </c>
      <c r="AJ55" s="18" t="n">
        <f aca="false">IF($AD55=1,$V55,1)</f>
        <v>1</v>
      </c>
      <c r="AK55" s="18" t="n">
        <f aca="false">IF($AD55=1,$Y55,1)</f>
        <v>1</v>
      </c>
    </row>
    <row r="56" customFormat="false" ht="15" hidden="false" customHeight="false" outlineLevel="0" collapsed="false">
      <c r="A56" s="10"/>
      <c r="B56" s="10"/>
      <c r="C56" s="12"/>
      <c r="D56" s="17"/>
      <c r="E56" s="13"/>
      <c r="F56" s="21"/>
      <c r="G56" s="12"/>
      <c r="H56" s="12"/>
      <c r="I56" s="12"/>
      <c r="J56" s="12"/>
      <c r="K56" s="12"/>
      <c r="L56" s="12"/>
      <c r="M56" s="15"/>
      <c r="N56" s="15"/>
      <c r="O56" s="12"/>
      <c r="P56" s="17"/>
      <c r="Q56" s="22" t="str">
        <f aca="false">IF(OR($G56="",Setup!$B$5=""),"",Setup!$B$5/$G56)</f>
        <v/>
      </c>
      <c r="R56" s="23" t="str">
        <f aca="false">IF(OR($E56="",$Q56=""),"",1-(1-$E56)^$Q56)</f>
        <v/>
      </c>
      <c r="S56" s="22" t="str">
        <f aca="false">IF(OR($R56="",$H56=""),"",$H56*$R56)</f>
        <v/>
      </c>
      <c r="T56" s="23" t="str">
        <f aca="false">IF(OR($E56="",$I56=""),"",MIN(1,MIN(N($F56),$E56)+($E56-MIN(N($F56),$E56))*(1-$I56)))</f>
        <v/>
      </c>
      <c r="U56" s="23" t="str">
        <f aca="false">IF(OR($T56="",$Q56=""),"",1-(1-$T56)^$Q56)</f>
        <v/>
      </c>
      <c r="V56" s="23" t="str">
        <f aca="false">IF($M56&lt;&gt;"",$M56,IF($G56="","",MAX(1,(Setup!$B$6/$G56)^Setup!$B$7)))</f>
        <v/>
      </c>
      <c r="W56" s="22" t="str">
        <f aca="false">IF(COUNT($J56:$L56)&lt;3,"",Setup!$B$10*(6-$J56)+Setup!$B$11*$K56+Setup!$B$12*$L56)</f>
        <v/>
      </c>
      <c r="X56" s="23" t="str">
        <f aca="false">IF($W56="","",IF(LEFT(Setup!$B$15,1)="B",EXP(Setup!$B$14*($W56-1)),1+Setup!$B$14*($W56-1)))</f>
        <v/>
      </c>
      <c r="Y56" s="23" t="str">
        <f aca="false">IF($N56&lt;&gt;"",$N56,$X56)</f>
        <v/>
      </c>
      <c r="Z56" s="22" t="str">
        <f aca="false">IF(OR($H56="",$U56="",$V56=""),"",$H56*$U56*$V56)</f>
        <v/>
      </c>
      <c r="AA56" s="22" t="str">
        <f aca="false">IF(OR($Z56="",$Y56=""),"",$Z56*$Y56)</f>
        <v/>
      </c>
      <c r="AB56" s="1" t="str">
        <f aca="false">IF($A56="","",IF(OR($E56="",$G56="",$H56="",$I56="",AND($N56="",COUNT($J56:$L56)&lt;3)),"Missing: "&amp;IF($E56="","P ","")&amp;IF($G56="","T ","")&amp;IF($H56="","I ","")&amp;IF($I56="","C ","")&amp;IF(AND($N56="",COUNT($J56:$L56)&lt;3),"C_ctrl/C_ext/C_irr",""),IF(N($F56)&gt;$E56,"P_floor &gt; P (floor capped at P)","OK")))</f>
        <v/>
      </c>
      <c r="AC56" s="1" t="str">
        <f aca="false">IF($AA56="","",$AA56+ROW()/1000000)</f>
        <v/>
      </c>
      <c r="AD56" s="18" t="n">
        <f aca="false">IF(AND($A56&lt;&gt;"",ISNUMBER($AA56)),1,0)</f>
        <v>0</v>
      </c>
      <c r="AE56" s="18" t="n">
        <f aca="false">IF($AD56=1,$H56,0)</f>
        <v>0</v>
      </c>
      <c r="AF56" s="18" t="n">
        <f aca="false">IF($AD56=1,$E56,0)</f>
        <v>0</v>
      </c>
      <c r="AG56" s="18" t="n">
        <f aca="false">IF($AD56=1,MIN(N($F56),$E56),0)</f>
        <v>0</v>
      </c>
      <c r="AH56" s="18" t="n">
        <f aca="false">IF($AD56=1,$I56,0)</f>
        <v>0</v>
      </c>
      <c r="AI56" s="18" t="n">
        <f aca="false">IF($AD56=1,$G56,1)</f>
        <v>1</v>
      </c>
      <c r="AJ56" s="18" t="n">
        <f aca="false">IF($AD56=1,$V56,1)</f>
        <v>1</v>
      </c>
      <c r="AK56" s="18" t="n">
        <f aca="false">IF($AD56=1,$Y56,1)</f>
        <v>1</v>
      </c>
    </row>
    <row r="57" customFormat="false" ht="15" hidden="false" customHeight="false" outlineLevel="0" collapsed="false">
      <c r="A57" s="10"/>
      <c r="B57" s="10"/>
      <c r="C57" s="12"/>
      <c r="D57" s="17"/>
      <c r="E57" s="13"/>
      <c r="F57" s="21"/>
      <c r="G57" s="12"/>
      <c r="H57" s="12"/>
      <c r="I57" s="12"/>
      <c r="J57" s="12"/>
      <c r="K57" s="12"/>
      <c r="L57" s="12"/>
      <c r="M57" s="15"/>
      <c r="N57" s="15"/>
      <c r="O57" s="12"/>
      <c r="P57" s="17"/>
      <c r="Q57" s="22" t="str">
        <f aca="false">IF(OR($G57="",Setup!$B$5=""),"",Setup!$B$5/$G57)</f>
        <v/>
      </c>
      <c r="R57" s="23" t="str">
        <f aca="false">IF(OR($E57="",$Q57=""),"",1-(1-$E57)^$Q57)</f>
        <v/>
      </c>
      <c r="S57" s="22" t="str">
        <f aca="false">IF(OR($R57="",$H57=""),"",$H57*$R57)</f>
        <v/>
      </c>
      <c r="T57" s="23" t="str">
        <f aca="false">IF(OR($E57="",$I57=""),"",MIN(1,MIN(N($F57),$E57)+($E57-MIN(N($F57),$E57))*(1-$I57)))</f>
        <v/>
      </c>
      <c r="U57" s="23" t="str">
        <f aca="false">IF(OR($T57="",$Q57=""),"",1-(1-$T57)^$Q57)</f>
        <v/>
      </c>
      <c r="V57" s="23" t="str">
        <f aca="false">IF($M57&lt;&gt;"",$M57,IF($G57="","",MAX(1,(Setup!$B$6/$G57)^Setup!$B$7)))</f>
        <v/>
      </c>
      <c r="W57" s="22" t="str">
        <f aca="false">IF(COUNT($J57:$L57)&lt;3,"",Setup!$B$10*(6-$J57)+Setup!$B$11*$K57+Setup!$B$12*$L57)</f>
        <v/>
      </c>
      <c r="X57" s="23" t="str">
        <f aca="false">IF($W57="","",IF(LEFT(Setup!$B$15,1)="B",EXP(Setup!$B$14*($W57-1)),1+Setup!$B$14*($W57-1)))</f>
        <v/>
      </c>
      <c r="Y57" s="23" t="str">
        <f aca="false">IF($N57&lt;&gt;"",$N57,$X57)</f>
        <v/>
      </c>
      <c r="Z57" s="22" t="str">
        <f aca="false">IF(OR($H57="",$U57="",$V57=""),"",$H57*$U57*$V57)</f>
        <v/>
      </c>
      <c r="AA57" s="22" t="str">
        <f aca="false">IF(OR($Z57="",$Y57=""),"",$Z57*$Y57)</f>
        <v/>
      </c>
      <c r="AB57" s="1" t="str">
        <f aca="false">IF($A57="","",IF(OR($E57="",$G57="",$H57="",$I57="",AND($N57="",COUNT($J57:$L57)&lt;3)),"Missing: "&amp;IF($E57="","P ","")&amp;IF($G57="","T ","")&amp;IF($H57="","I ","")&amp;IF($I57="","C ","")&amp;IF(AND($N57="",COUNT($J57:$L57)&lt;3),"C_ctrl/C_ext/C_irr",""),IF(N($F57)&gt;$E57,"P_floor &gt; P (floor capped at P)","OK")))</f>
        <v/>
      </c>
      <c r="AC57" s="1" t="str">
        <f aca="false">IF($AA57="","",$AA57+ROW()/1000000)</f>
        <v/>
      </c>
      <c r="AD57" s="18" t="n">
        <f aca="false">IF(AND($A57&lt;&gt;"",ISNUMBER($AA57)),1,0)</f>
        <v>0</v>
      </c>
      <c r="AE57" s="18" t="n">
        <f aca="false">IF($AD57=1,$H57,0)</f>
        <v>0</v>
      </c>
      <c r="AF57" s="18" t="n">
        <f aca="false">IF($AD57=1,$E57,0)</f>
        <v>0</v>
      </c>
      <c r="AG57" s="18" t="n">
        <f aca="false">IF($AD57=1,MIN(N($F57),$E57),0)</f>
        <v>0</v>
      </c>
      <c r="AH57" s="18" t="n">
        <f aca="false">IF($AD57=1,$I57,0)</f>
        <v>0</v>
      </c>
      <c r="AI57" s="18" t="n">
        <f aca="false">IF($AD57=1,$G57,1)</f>
        <v>1</v>
      </c>
      <c r="AJ57" s="18" t="n">
        <f aca="false">IF($AD57=1,$V57,1)</f>
        <v>1</v>
      </c>
      <c r="AK57" s="18" t="n">
        <f aca="false">IF($AD57=1,$Y57,1)</f>
        <v>1</v>
      </c>
    </row>
    <row r="58" customFormat="false" ht="15" hidden="false" customHeight="false" outlineLevel="0" collapsed="false">
      <c r="A58" s="10"/>
      <c r="B58" s="10"/>
      <c r="C58" s="12"/>
      <c r="D58" s="17"/>
      <c r="E58" s="13"/>
      <c r="F58" s="21"/>
      <c r="G58" s="12"/>
      <c r="H58" s="12"/>
      <c r="I58" s="12"/>
      <c r="J58" s="12"/>
      <c r="K58" s="12"/>
      <c r="L58" s="12"/>
      <c r="M58" s="15"/>
      <c r="N58" s="15"/>
      <c r="O58" s="12"/>
      <c r="P58" s="17"/>
      <c r="Q58" s="22" t="str">
        <f aca="false">IF(OR($G58="",Setup!$B$5=""),"",Setup!$B$5/$G58)</f>
        <v/>
      </c>
      <c r="R58" s="23" t="str">
        <f aca="false">IF(OR($E58="",$Q58=""),"",1-(1-$E58)^$Q58)</f>
        <v/>
      </c>
      <c r="S58" s="22" t="str">
        <f aca="false">IF(OR($R58="",$H58=""),"",$H58*$R58)</f>
        <v/>
      </c>
      <c r="T58" s="23" t="str">
        <f aca="false">IF(OR($E58="",$I58=""),"",MIN(1,MIN(N($F58),$E58)+($E58-MIN(N($F58),$E58))*(1-$I58)))</f>
        <v/>
      </c>
      <c r="U58" s="23" t="str">
        <f aca="false">IF(OR($T58="",$Q58=""),"",1-(1-$T58)^$Q58)</f>
        <v/>
      </c>
      <c r="V58" s="23" t="str">
        <f aca="false">IF($M58&lt;&gt;"",$M58,IF($G58="","",MAX(1,(Setup!$B$6/$G58)^Setup!$B$7)))</f>
        <v/>
      </c>
      <c r="W58" s="22" t="str">
        <f aca="false">IF(COUNT($J58:$L58)&lt;3,"",Setup!$B$10*(6-$J58)+Setup!$B$11*$K58+Setup!$B$12*$L58)</f>
        <v/>
      </c>
      <c r="X58" s="23" t="str">
        <f aca="false">IF($W58="","",IF(LEFT(Setup!$B$15,1)="B",EXP(Setup!$B$14*($W58-1)),1+Setup!$B$14*($W58-1)))</f>
        <v/>
      </c>
      <c r="Y58" s="23" t="str">
        <f aca="false">IF($N58&lt;&gt;"",$N58,$X58)</f>
        <v/>
      </c>
      <c r="Z58" s="22" t="str">
        <f aca="false">IF(OR($H58="",$U58="",$V58=""),"",$H58*$U58*$V58)</f>
        <v/>
      </c>
      <c r="AA58" s="22" t="str">
        <f aca="false">IF(OR($Z58="",$Y58=""),"",$Z58*$Y58)</f>
        <v/>
      </c>
      <c r="AB58" s="1" t="str">
        <f aca="false">IF($A58="","",IF(OR($E58="",$G58="",$H58="",$I58="",AND($N58="",COUNT($J58:$L58)&lt;3)),"Missing: "&amp;IF($E58="","P ","")&amp;IF($G58="","T ","")&amp;IF($H58="","I ","")&amp;IF($I58="","C ","")&amp;IF(AND($N58="",COUNT($J58:$L58)&lt;3),"C_ctrl/C_ext/C_irr",""),IF(N($F58)&gt;$E58,"P_floor &gt; P (floor capped at P)","OK")))</f>
        <v/>
      </c>
      <c r="AC58" s="1" t="str">
        <f aca="false">IF($AA58="","",$AA58+ROW()/1000000)</f>
        <v/>
      </c>
      <c r="AD58" s="18" t="n">
        <f aca="false">IF(AND($A58&lt;&gt;"",ISNUMBER($AA58)),1,0)</f>
        <v>0</v>
      </c>
      <c r="AE58" s="18" t="n">
        <f aca="false">IF($AD58=1,$H58,0)</f>
        <v>0</v>
      </c>
      <c r="AF58" s="18" t="n">
        <f aca="false">IF($AD58=1,$E58,0)</f>
        <v>0</v>
      </c>
      <c r="AG58" s="18" t="n">
        <f aca="false">IF($AD58=1,MIN(N($F58),$E58),0)</f>
        <v>0</v>
      </c>
      <c r="AH58" s="18" t="n">
        <f aca="false">IF($AD58=1,$I58,0)</f>
        <v>0</v>
      </c>
      <c r="AI58" s="18" t="n">
        <f aca="false">IF($AD58=1,$G58,1)</f>
        <v>1</v>
      </c>
      <c r="AJ58" s="18" t="n">
        <f aca="false">IF($AD58=1,$V58,1)</f>
        <v>1</v>
      </c>
      <c r="AK58" s="18" t="n">
        <f aca="false">IF($AD58=1,$Y58,1)</f>
        <v>1</v>
      </c>
    </row>
    <row r="59" customFormat="false" ht="15" hidden="false" customHeight="false" outlineLevel="0" collapsed="false">
      <c r="A59" s="10"/>
      <c r="B59" s="10"/>
      <c r="C59" s="12"/>
      <c r="D59" s="17"/>
      <c r="E59" s="13"/>
      <c r="F59" s="21"/>
      <c r="G59" s="12"/>
      <c r="H59" s="12"/>
      <c r="I59" s="12"/>
      <c r="J59" s="12"/>
      <c r="K59" s="12"/>
      <c r="L59" s="12"/>
      <c r="M59" s="15"/>
      <c r="N59" s="15"/>
      <c r="O59" s="12"/>
      <c r="P59" s="17"/>
      <c r="Q59" s="22" t="str">
        <f aca="false">IF(OR($G59="",Setup!$B$5=""),"",Setup!$B$5/$G59)</f>
        <v/>
      </c>
      <c r="R59" s="23" t="str">
        <f aca="false">IF(OR($E59="",$Q59=""),"",1-(1-$E59)^$Q59)</f>
        <v/>
      </c>
      <c r="S59" s="22" t="str">
        <f aca="false">IF(OR($R59="",$H59=""),"",$H59*$R59)</f>
        <v/>
      </c>
      <c r="T59" s="23" t="str">
        <f aca="false">IF(OR($E59="",$I59=""),"",MIN(1,MIN(N($F59),$E59)+($E59-MIN(N($F59),$E59))*(1-$I59)))</f>
        <v/>
      </c>
      <c r="U59" s="23" t="str">
        <f aca="false">IF(OR($T59="",$Q59=""),"",1-(1-$T59)^$Q59)</f>
        <v/>
      </c>
      <c r="V59" s="23" t="str">
        <f aca="false">IF($M59&lt;&gt;"",$M59,IF($G59="","",MAX(1,(Setup!$B$6/$G59)^Setup!$B$7)))</f>
        <v/>
      </c>
      <c r="W59" s="22" t="str">
        <f aca="false">IF(COUNT($J59:$L59)&lt;3,"",Setup!$B$10*(6-$J59)+Setup!$B$11*$K59+Setup!$B$12*$L59)</f>
        <v/>
      </c>
      <c r="X59" s="23" t="str">
        <f aca="false">IF($W59="","",IF(LEFT(Setup!$B$15,1)="B",EXP(Setup!$B$14*($W59-1)),1+Setup!$B$14*($W59-1)))</f>
        <v/>
      </c>
      <c r="Y59" s="23" t="str">
        <f aca="false">IF($N59&lt;&gt;"",$N59,$X59)</f>
        <v/>
      </c>
      <c r="Z59" s="22" t="str">
        <f aca="false">IF(OR($H59="",$U59="",$V59=""),"",$H59*$U59*$V59)</f>
        <v/>
      </c>
      <c r="AA59" s="22" t="str">
        <f aca="false">IF(OR($Z59="",$Y59=""),"",$Z59*$Y59)</f>
        <v/>
      </c>
      <c r="AB59" s="1" t="str">
        <f aca="false">IF($A59="","",IF(OR($E59="",$G59="",$H59="",$I59="",AND($N59="",COUNT($J59:$L59)&lt;3)),"Missing: "&amp;IF($E59="","P ","")&amp;IF($G59="","T ","")&amp;IF($H59="","I ","")&amp;IF($I59="","C ","")&amp;IF(AND($N59="",COUNT($J59:$L59)&lt;3),"C_ctrl/C_ext/C_irr",""),IF(N($F59)&gt;$E59,"P_floor &gt; P (floor capped at P)","OK")))</f>
        <v/>
      </c>
      <c r="AC59" s="1" t="str">
        <f aca="false">IF($AA59="","",$AA59+ROW()/1000000)</f>
        <v/>
      </c>
      <c r="AD59" s="18" t="n">
        <f aca="false">IF(AND($A59&lt;&gt;"",ISNUMBER($AA59)),1,0)</f>
        <v>0</v>
      </c>
      <c r="AE59" s="18" t="n">
        <f aca="false">IF($AD59=1,$H59,0)</f>
        <v>0</v>
      </c>
      <c r="AF59" s="18" t="n">
        <f aca="false">IF($AD59=1,$E59,0)</f>
        <v>0</v>
      </c>
      <c r="AG59" s="18" t="n">
        <f aca="false">IF($AD59=1,MIN(N($F59),$E59),0)</f>
        <v>0</v>
      </c>
      <c r="AH59" s="18" t="n">
        <f aca="false">IF($AD59=1,$I59,0)</f>
        <v>0</v>
      </c>
      <c r="AI59" s="18" t="n">
        <f aca="false">IF($AD59=1,$G59,1)</f>
        <v>1</v>
      </c>
      <c r="AJ59" s="18" t="n">
        <f aca="false">IF($AD59=1,$V59,1)</f>
        <v>1</v>
      </c>
      <c r="AK59" s="18" t="n">
        <f aca="false">IF($AD59=1,$Y59,1)</f>
        <v>1</v>
      </c>
    </row>
    <row r="60" customFormat="false" ht="15" hidden="false" customHeight="false" outlineLevel="0" collapsed="false">
      <c r="A60" s="10"/>
      <c r="B60" s="10"/>
      <c r="C60" s="12"/>
      <c r="D60" s="17"/>
      <c r="E60" s="13"/>
      <c r="F60" s="21"/>
      <c r="G60" s="12"/>
      <c r="H60" s="12"/>
      <c r="I60" s="12"/>
      <c r="J60" s="12"/>
      <c r="K60" s="12"/>
      <c r="L60" s="12"/>
      <c r="M60" s="15"/>
      <c r="N60" s="15"/>
      <c r="O60" s="12"/>
      <c r="P60" s="17"/>
      <c r="Q60" s="22" t="str">
        <f aca="false">IF(OR($G60="",Setup!$B$5=""),"",Setup!$B$5/$G60)</f>
        <v/>
      </c>
      <c r="R60" s="23" t="str">
        <f aca="false">IF(OR($E60="",$Q60=""),"",1-(1-$E60)^$Q60)</f>
        <v/>
      </c>
      <c r="S60" s="22" t="str">
        <f aca="false">IF(OR($R60="",$H60=""),"",$H60*$R60)</f>
        <v/>
      </c>
      <c r="T60" s="23" t="str">
        <f aca="false">IF(OR($E60="",$I60=""),"",MIN(1,MIN(N($F60),$E60)+($E60-MIN(N($F60),$E60))*(1-$I60)))</f>
        <v/>
      </c>
      <c r="U60" s="23" t="str">
        <f aca="false">IF(OR($T60="",$Q60=""),"",1-(1-$T60)^$Q60)</f>
        <v/>
      </c>
      <c r="V60" s="23" t="str">
        <f aca="false">IF($M60&lt;&gt;"",$M60,IF($G60="","",MAX(1,(Setup!$B$6/$G60)^Setup!$B$7)))</f>
        <v/>
      </c>
      <c r="W60" s="22" t="str">
        <f aca="false">IF(COUNT($J60:$L60)&lt;3,"",Setup!$B$10*(6-$J60)+Setup!$B$11*$K60+Setup!$B$12*$L60)</f>
        <v/>
      </c>
      <c r="X60" s="23" t="str">
        <f aca="false">IF($W60="","",IF(LEFT(Setup!$B$15,1)="B",EXP(Setup!$B$14*($W60-1)),1+Setup!$B$14*($W60-1)))</f>
        <v/>
      </c>
      <c r="Y60" s="23" t="str">
        <f aca="false">IF($N60&lt;&gt;"",$N60,$X60)</f>
        <v/>
      </c>
      <c r="Z60" s="22" t="str">
        <f aca="false">IF(OR($H60="",$U60="",$V60=""),"",$H60*$U60*$V60)</f>
        <v/>
      </c>
      <c r="AA60" s="22" t="str">
        <f aca="false">IF(OR($Z60="",$Y60=""),"",$Z60*$Y60)</f>
        <v/>
      </c>
      <c r="AB60" s="1" t="str">
        <f aca="false">IF($A60="","",IF(OR($E60="",$G60="",$H60="",$I60="",AND($N60="",COUNT($J60:$L60)&lt;3)),"Missing: "&amp;IF($E60="","P ","")&amp;IF($G60="","T ","")&amp;IF($H60="","I ","")&amp;IF($I60="","C ","")&amp;IF(AND($N60="",COUNT($J60:$L60)&lt;3),"C_ctrl/C_ext/C_irr",""),IF(N($F60)&gt;$E60,"P_floor &gt; P (floor capped at P)","OK")))</f>
        <v/>
      </c>
      <c r="AC60" s="1" t="str">
        <f aca="false">IF($AA60="","",$AA60+ROW()/1000000)</f>
        <v/>
      </c>
      <c r="AD60" s="18" t="n">
        <f aca="false">IF(AND($A60&lt;&gt;"",ISNUMBER($AA60)),1,0)</f>
        <v>0</v>
      </c>
      <c r="AE60" s="18" t="n">
        <f aca="false">IF($AD60=1,$H60,0)</f>
        <v>0</v>
      </c>
      <c r="AF60" s="18" t="n">
        <f aca="false">IF($AD60=1,$E60,0)</f>
        <v>0</v>
      </c>
      <c r="AG60" s="18" t="n">
        <f aca="false">IF($AD60=1,MIN(N($F60),$E60),0)</f>
        <v>0</v>
      </c>
      <c r="AH60" s="18" t="n">
        <f aca="false">IF($AD60=1,$I60,0)</f>
        <v>0</v>
      </c>
      <c r="AI60" s="18" t="n">
        <f aca="false">IF($AD60=1,$G60,1)</f>
        <v>1</v>
      </c>
      <c r="AJ60" s="18" t="n">
        <f aca="false">IF($AD60=1,$V60,1)</f>
        <v>1</v>
      </c>
      <c r="AK60" s="18" t="n">
        <f aca="false">IF($AD60=1,$Y60,1)</f>
        <v>1</v>
      </c>
    </row>
    <row r="61" customFormat="false" ht="15" hidden="false" customHeight="false" outlineLevel="0" collapsed="false">
      <c r="A61" s="10"/>
      <c r="B61" s="10"/>
      <c r="C61" s="12"/>
      <c r="D61" s="17"/>
      <c r="E61" s="13"/>
      <c r="F61" s="21"/>
      <c r="G61" s="12"/>
      <c r="H61" s="12"/>
      <c r="I61" s="12"/>
      <c r="J61" s="12"/>
      <c r="K61" s="12"/>
      <c r="L61" s="12"/>
      <c r="M61" s="15"/>
      <c r="N61" s="15"/>
      <c r="O61" s="12"/>
      <c r="P61" s="17"/>
      <c r="Q61" s="22" t="str">
        <f aca="false">IF(OR($G61="",Setup!$B$5=""),"",Setup!$B$5/$G61)</f>
        <v/>
      </c>
      <c r="R61" s="23" t="str">
        <f aca="false">IF(OR($E61="",$Q61=""),"",1-(1-$E61)^$Q61)</f>
        <v/>
      </c>
      <c r="S61" s="22" t="str">
        <f aca="false">IF(OR($R61="",$H61=""),"",$H61*$R61)</f>
        <v/>
      </c>
      <c r="T61" s="23" t="str">
        <f aca="false">IF(OR($E61="",$I61=""),"",MIN(1,MIN(N($F61),$E61)+($E61-MIN(N($F61),$E61))*(1-$I61)))</f>
        <v/>
      </c>
      <c r="U61" s="23" t="str">
        <f aca="false">IF(OR($T61="",$Q61=""),"",1-(1-$T61)^$Q61)</f>
        <v/>
      </c>
      <c r="V61" s="23" t="str">
        <f aca="false">IF($M61&lt;&gt;"",$M61,IF($G61="","",MAX(1,(Setup!$B$6/$G61)^Setup!$B$7)))</f>
        <v/>
      </c>
      <c r="W61" s="22" t="str">
        <f aca="false">IF(COUNT($J61:$L61)&lt;3,"",Setup!$B$10*(6-$J61)+Setup!$B$11*$K61+Setup!$B$12*$L61)</f>
        <v/>
      </c>
      <c r="X61" s="23" t="str">
        <f aca="false">IF($W61="","",IF(LEFT(Setup!$B$15,1)="B",EXP(Setup!$B$14*($W61-1)),1+Setup!$B$14*($W61-1)))</f>
        <v/>
      </c>
      <c r="Y61" s="23" t="str">
        <f aca="false">IF($N61&lt;&gt;"",$N61,$X61)</f>
        <v/>
      </c>
      <c r="Z61" s="22" t="str">
        <f aca="false">IF(OR($H61="",$U61="",$V61=""),"",$H61*$U61*$V61)</f>
        <v/>
      </c>
      <c r="AA61" s="22" t="str">
        <f aca="false">IF(OR($Z61="",$Y61=""),"",$Z61*$Y61)</f>
        <v/>
      </c>
      <c r="AB61" s="1" t="str">
        <f aca="false">IF($A61="","",IF(OR($E61="",$G61="",$H61="",$I61="",AND($N61="",COUNT($J61:$L61)&lt;3)),"Missing: "&amp;IF($E61="","P ","")&amp;IF($G61="","T ","")&amp;IF($H61="","I ","")&amp;IF($I61="","C ","")&amp;IF(AND($N61="",COUNT($J61:$L61)&lt;3),"C_ctrl/C_ext/C_irr",""),IF(N($F61)&gt;$E61,"P_floor &gt; P (floor capped at P)","OK")))</f>
        <v/>
      </c>
      <c r="AC61" s="1" t="str">
        <f aca="false">IF($AA61="","",$AA61+ROW()/1000000)</f>
        <v/>
      </c>
      <c r="AD61" s="18" t="n">
        <f aca="false">IF(AND($A61&lt;&gt;"",ISNUMBER($AA61)),1,0)</f>
        <v>0</v>
      </c>
      <c r="AE61" s="18" t="n">
        <f aca="false">IF($AD61=1,$H61,0)</f>
        <v>0</v>
      </c>
      <c r="AF61" s="18" t="n">
        <f aca="false">IF($AD61=1,$E61,0)</f>
        <v>0</v>
      </c>
      <c r="AG61" s="18" t="n">
        <f aca="false">IF($AD61=1,MIN(N($F61),$E61),0)</f>
        <v>0</v>
      </c>
      <c r="AH61" s="18" t="n">
        <f aca="false">IF($AD61=1,$I61,0)</f>
        <v>0</v>
      </c>
      <c r="AI61" s="18" t="n">
        <f aca="false">IF($AD61=1,$G61,1)</f>
        <v>1</v>
      </c>
      <c r="AJ61" s="18" t="n">
        <f aca="false">IF($AD61=1,$V61,1)</f>
        <v>1</v>
      </c>
      <c r="AK61" s="18" t="n">
        <f aca="false">IF($AD61=1,$Y61,1)</f>
        <v>1</v>
      </c>
    </row>
    <row r="62" customFormat="false" ht="15" hidden="false" customHeight="false" outlineLevel="0" collapsed="false">
      <c r="A62" s="10"/>
      <c r="B62" s="10"/>
      <c r="C62" s="12"/>
      <c r="D62" s="17"/>
      <c r="E62" s="13"/>
      <c r="F62" s="21"/>
      <c r="G62" s="12"/>
      <c r="H62" s="12"/>
      <c r="I62" s="12"/>
      <c r="J62" s="12"/>
      <c r="K62" s="12"/>
      <c r="L62" s="12"/>
      <c r="M62" s="15"/>
      <c r="N62" s="15"/>
      <c r="O62" s="12"/>
      <c r="P62" s="17"/>
      <c r="Q62" s="22" t="str">
        <f aca="false">IF(OR($G62="",Setup!$B$5=""),"",Setup!$B$5/$G62)</f>
        <v/>
      </c>
      <c r="R62" s="23" t="str">
        <f aca="false">IF(OR($E62="",$Q62=""),"",1-(1-$E62)^$Q62)</f>
        <v/>
      </c>
      <c r="S62" s="22" t="str">
        <f aca="false">IF(OR($R62="",$H62=""),"",$H62*$R62)</f>
        <v/>
      </c>
      <c r="T62" s="23" t="str">
        <f aca="false">IF(OR($E62="",$I62=""),"",MIN(1,MIN(N($F62),$E62)+($E62-MIN(N($F62),$E62))*(1-$I62)))</f>
        <v/>
      </c>
      <c r="U62" s="23" t="str">
        <f aca="false">IF(OR($T62="",$Q62=""),"",1-(1-$T62)^$Q62)</f>
        <v/>
      </c>
      <c r="V62" s="23" t="str">
        <f aca="false">IF($M62&lt;&gt;"",$M62,IF($G62="","",MAX(1,(Setup!$B$6/$G62)^Setup!$B$7)))</f>
        <v/>
      </c>
      <c r="W62" s="22" t="str">
        <f aca="false">IF(COUNT($J62:$L62)&lt;3,"",Setup!$B$10*(6-$J62)+Setup!$B$11*$K62+Setup!$B$12*$L62)</f>
        <v/>
      </c>
      <c r="X62" s="23" t="str">
        <f aca="false">IF($W62="","",IF(LEFT(Setup!$B$15,1)="B",EXP(Setup!$B$14*($W62-1)),1+Setup!$B$14*($W62-1)))</f>
        <v/>
      </c>
      <c r="Y62" s="23" t="str">
        <f aca="false">IF($N62&lt;&gt;"",$N62,$X62)</f>
        <v/>
      </c>
      <c r="Z62" s="22" t="str">
        <f aca="false">IF(OR($H62="",$U62="",$V62=""),"",$H62*$U62*$V62)</f>
        <v/>
      </c>
      <c r="AA62" s="22" t="str">
        <f aca="false">IF(OR($Z62="",$Y62=""),"",$Z62*$Y62)</f>
        <v/>
      </c>
      <c r="AB62" s="1" t="str">
        <f aca="false">IF($A62="","",IF(OR($E62="",$G62="",$H62="",$I62="",AND($N62="",COUNT($J62:$L62)&lt;3)),"Missing: "&amp;IF($E62="","P ","")&amp;IF($G62="","T ","")&amp;IF($H62="","I ","")&amp;IF($I62="","C ","")&amp;IF(AND($N62="",COUNT($J62:$L62)&lt;3),"C_ctrl/C_ext/C_irr",""),IF(N($F62)&gt;$E62,"P_floor &gt; P (floor capped at P)","OK")))</f>
        <v/>
      </c>
      <c r="AC62" s="1" t="str">
        <f aca="false">IF($AA62="","",$AA62+ROW()/1000000)</f>
        <v/>
      </c>
      <c r="AD62" s="18" t="n">
        <f aca="false">IF(AND($A62&lt;&gt;"",ISNUMBER($AA62)),1,0)</f>
        <v>0</v>
      </c>
      <c r="AE62" s="18" t="n">
        <f aca="false">IF($AD62=1,$H62,0)</f>
        <v>0</v>
      </c>
      <c r="AF62" s="18" t="n">
        <f aca="false">IF($AD62=1,$E62,0)</f>
        <v>0</v>
      </c>
      <c r="AG62" s="18" t="n">
        <f aca="false">IF($AD62=1,MIN(N($F62),$E62),0)</f>
        <v>0</v>
      </c>
      <c r="AH62" s="18" t="n">
        <f aca="false">IF($AD62=1,$I62,0)</f>
        <v>0</v>
      </c>
      <c r="AI62" s="18" t="n">
        <f aca="false">IF($AD62=1,$G62,1)</f>
        <v>1</v>
      </c>
      <c r="AJ62" s="18" t="n">
        <f aca="false">IF($AD62=1,$V62,1)</f>
        <v>1</v>
      </c>
      <c r="AK62" s="18" t="n">
        <f aca="false">IF($AD62=1,$Y62,1)</f>
        <v>1</v>
      </c>
    </row>
    <row r="63" customFormat="false" ht="15" hidden="false" customHeight="false" outlineLevel="0" collapsed="false">
      <c r="A63" s="10"/>
      <c r="B63" s="10"/>
      <c r="C63" s="12"/>
      <c r="D63" s="17"/>
      <c r="E63" s="13"/>
      <c r="F63" s="21"/>
      <c r="G63" s="12"/>
      <c r="H63" s="12"/>
      <c r="I63" s="12"/>
      <c r="J63" s="12"/>
      <c r="K63" s="12"/>
      <c r="L63" s="12"/>
      <c r="M63" s="15"/>
      <c r="N63" s="15"/>
      <c r="O63" s="12"/>
      <c r="P63" s="17"/>
      <c r="Q63" s="22" t="str">
        <f aca="false">IF(OR($G63="",Setup!$B$5=""),"",Setup!$B$5/$G63)</f>
        <v/>
      </c>
      <c r="R63" s="23" t="str">
        <f aca="false">IF(OR($E63="",$Q63=""),"",1-(1-$E63)^$Q63)</f>
        <v/>
      </c>
      <c r="S63" s="22" t="str">
        <f aca="false">IF(OR($R63="",$H63=""),"",$H63*$R63)</f>
        <v/>
      </c>
      <c r="T63" s="23" t="str">
        <f aca="false">IF(OR($E63="",$I63=""),"",MIN(1,MIN(N($F63),$E63)+($E63-MIN(N($F63),$E63))*(1-$I63)))</f>
        <v/>
      </c>
      <c r="U63" s="23" t="str">
        <f aca="false">IF(OR($T63="",$Q63=""),"",1-(1-$T63)^$Q63)</f>
        <v/>
      </c>
      <c r="V63" s="23" t="str">
        <f aca="false">IF($M63&lt;&gt;"",$M63,IF($G63="","",MAX(1,(Setup!$B$6/$G63)^Setup!$B$7)))</f>
        <v/>
      </c>
      <c r="W63" s="22" t="str">
        <f aca="false">IF(COUNT($J63:$L63)&lt;3,"",Setup!$B$10*(6-$J63)+Setup!$B$11*$K63+Setup!$B$12*$L63)</f>
        <v/>
      </c>
      <c r="X63" s="23" t="str">
        <f aca="false">IF($W63="","",IF(LEFT(Setup!$B$15,1)="B",EXP(Setup!$B$14*($W63-1)),1+Setup!$B$14*($W63-1)))</f>
        <v/>
      </c>
      <c r="Y63" s="23" t="str">
        <f aca="false">IF($N63&lt;&gt;"",$N63,$X63)</f>
        <v/>
      </c>
      <c r="Z63" s="22" t="str">
        <f aca="false">IF(OR($H63="",$U63="",$V63=""),"",$H63*$U63*$V63)</f>
        <v/>
      </c>
      <c r="AA63" s="22" t="str">
        <f aca="false">IF(OR($Z63="",$Y63=""),"",$Z63*$Y63)</f>
        <v/>
      </c>
      <c r="AB63" s="1" t="str">
        <f aca="false">IF($A63="","",IF(OR($E63="",$G63="",$H63="",$I63="",AND($N63="",COUNT($J63:$L63)&lt;3)),"Missing: "&amp;IF($E63="","P ","")&amp;IF($G63="","T ","")&amp;IF($H63="","I ","")&amp;IF($I63="","C ","")&amp;IF(AND($N63="",COUNT($J63:$L63)&lt;3),"C_ctrl/C_ext/C_irr",""),IF(N($F63)&gt;$E63,"P_floor &gt; P (floor capped at P)","OK")))</f>
        <v/>
      </c>
      <c r="AC63" s="1" t="str">
        <f aca="false">IF($AA63="","",$AA63+ROW()/1000000)</f>
        <v/>
      </c>
      <c r="AD63" s="18" t="n">
        <f aca="false">IF(AND($A63&lt;&gt;"",ISNUMBER($AA63)),1,0)</f>
        <v>0</v>
      </c>
      <c r="AE63" s="18" t="n">
        <f aca="false">IF($AD63=1,$H63,0)</f>
        <v>0</v>
      </c>
      <c r="AF63" s="18" t="n">
        <f aca="false">IF($AD63=1,$E63,0)</f>
        <v>0</v>
      </c>
      <c r="AG63" s="18" t="n">
        <f aca="false">IF($AD63=1,MIN(N($F63),$E63),0)</f>
        <v>0</v>
      </c>
      <c r="AH63" s="18" t="n">
        <f aca="false">IF($AD63=1,$I63,0)</f>
        <v>0</v>
      </c>
      <c r="AI63" s="18" t="n">
        <f aca="false">IF($AD63=1,$G63,1)</f>
        <v>1</v>
      </c>
      <c r="AJ63" s="18" t="n">
        <f aca="false">IF($AD63=1,$V63,1)</f>
        <v>1</v>
      </c>
      <c r="AK63" s="18" t="n">
        <f aca="false">IF($AD63=1,$Y63,1)</f>
        <v>1</v>
      </c>
    </row>
    <row r="64" customFormat="false" ht="15" hidden="false" customHeight="false" outlineLevel="0" collapsed="false">
      <c r="A64" s="10"/>
      <c r="B64" s="10"/>
      <c r="C64" s="12"/>
      <c r="D64" s="17"/>
      <c r="E64" s="13"/>
      <c r="F64" s="21"/>
      <c r="G64" s="12"/>
      <c r="H64" s="12"/>
      <c r="I64" s="12"/>
      <c r="J64" s="12"/>
      <c r="K64" s="12"/>
      <c r="L64" s="12"/>
      <c r="M64" s="15"/>
      <c r="N64" s="15"/>
      <c r="O64" s="12"/>
      <c r="P64" s="17"/>
      <c r="Q64" s="22" t="str">
        <f aca="false">IF(OR($G64="",Setup!$B$5=""),"",Setup!$B$5/$G64)</f>
        <v/>
      </c>
      <c r="R64" s="23" t="str">
        <f aca="false">IF(OR($E64="",$Q64=""),"",1-(1-$E64)^$Q64)</f>
        <v/>
      </c>
      <c r="S64" s="22" t="str">
        <f aca="false">IF(OR($R64="",$H64=""),"",$H64*$R64)</f>
        <v/>
      </c>
      <c r="T64" s="23" t="str">
        <f aca="false">IF(OR($E64="",$I64=""),"",MIN(1,MIN(N($F64),$E64)+($E64-MIN(N($F64),$E64))*(1-$I64)))</f>
        <v/>
      </c>
      <c r="U64" s="23" t="str">
        <f aca="false">IF(OR($T64="",$Q64=""),"",1-(1-$T64)^$Q64)</f>
        <v/>
      </c>
      <c r="V64" s="23" t="str">
        <f aca="false">IF($M64&lt;&gt;"",$M64,IF($G64="","",MAX(1,(Setup!$B$6/$G64)^Setup!$B$7)))</f>
        <v/>
      </c>
      <c r="W64" s="22" t="str">
        <f aca="false">IF(COUNT($J64:$L64)&lt;3,"",Setup!$B$10*(6-$J64)+Setup!$B$11*$K64+Setup!$B$12*$L64)</f>
        <v/>
      </c>
      <c r="X64" s="23" t="str">
        <f aca="false">IF($W64="","",IF(LEFT(Setup!$B$15,1)="B",EXP(Setup!$B$14*($W64-1)),1+Setup!$B$14*($W64-1)))</f>
        <v/>
      </c>
      <c r="Y64" s="23" t="str">
        <f aca="false">IF($N64&lt;&gt;"",$N64,$X64)</f>
        <v/>
      </c>
      <c r="Z64" s="22" t="str">
        <f aca="false">IF(OR($H64="",$U64="",$V64=""),"",$H64*$U64*$V64)</f>
        <v/>
      </c>
      <c r="AA64" s="22" t="str">
        <f aca="false">IF(OR($Z64="",$Y64=""),"",$Z64*$Y64)</f>
        <v/>
      </c>
      <c r="AB64" s="1" t="str">
        <f aca="false">IF($A64="","",IF(OR($E64="",$G64="",$H64="",$I64="",AND($N64="",COUNT($J64:$L64)&lt;3)),"Missing: "&amp;IF($E64="","P ","")&amp;IF($G64="","T ","")&amp;IF($H64="","I ","")&amp;IF($I64="","C ","")&amp;IF(AND($N64="",COUNT($J64:$L64)&lt;3),"C_ctrl/C_ext/C_irr",""),IF(N($F64)&gt;$E64,"P_floor &gt; P (floor capped at P)","OK")))</f>
        <v/>
      </c>
      <c r="AC64" s="1" t="str">
        <f aca="false">IF($AA64="","",$AA64+ROW()/1000000)</f>
        <v/>
      </c>
      <c r="AD64" s="18" t="n">
        <f aca="false">IF(AND($A64&lt;&gt;"",ISNUMBER($AA64)),1,0)</f>
        <v>0</v>
      </c>
      <c r="AE64" s="18" t="n">
        <f aca="false">IF($AD64=1,$H64,0)</f>
        <v>0</v>
      </c>
      <c r="AF64" s="18" t="n">
        <f aca="false">IF($AD64=1,$E64,0)</f>
        <v>0</v>
      </c>
      <c r="AG64" s="18" t="n">
        <f aca="false">IF($AD64=1,MIN(N($F64),$E64),0)</f>
        <v>0</v>
      </c>
      <c r="AH64" s="18" t="n">
        <f aca="false">IF($AD64=1,$I64,0)</f>
        <v>0</v>
      </c>
      <c r="AI64" s="18" t="n">
        <f aca="false">IF($AD64=1,$G64,1)</f>
        <v>1</v>
      </c>
      <c r="AJ64" s="18" t="n">
        <f aca="false">IF($AD64=1,$V64,1)</f>
        <v>1</v>
      </c>
      <c r="AK64" s="18" t="n">
        <f aca="false">IF($AD64=1,$Y64,1)</f>
        <v>1</v>
      </c>
    </row>
    <row r="65" customFormat="false" ht="15" hidden="false" customHeight="false" outlineLevel="0" collapsed="false">
      <c r="A65" s="10"/>
      <c r="B65" s="10"/>
      <c r="C65" s="12"/>
      <c r="D65" s="17"/>
      <c r="E65" s="13"/>
      <c r="F65" s="21"/>
      <c r="G65" s="12"/>
      <c r="H65" s="12"/>
      <c r="I65" s="12"/>
      <c r="J65" s="12"/>
      <c r="K65" s="12"/>
      <c r="L65" s="12"/>
      <c r="M65" s="15"/>
      <c r="N65" s="15"/>
      <c r="O65" s="12"/>
      <c r="P65" s="17"/>
      <c r="Q65" s="22" t="str">
        <f aca="false">IF(OR($G65="",Setup!$B$5=""),"",Setup!$B$5/$G65)</f>
        <v/>
      </c>
      <c r="R65" s="23" t="str">
        <f aca="false">IF(OR($E65="",$Q65=""),"",1-(1-$E65)^$Q65)</f>
        <v/>
      </c>
      <c r="S65" s="22" t="str">
        <f aca="false">IF(OR($R65="",$H65=""),"",$H65*$R65)</f>
        <v/>
      </c>
      <c r="T65" s="23" t="str">
        <f aca="false">IF(OR($E65="",$I65=""),"",MIN(1,MIN(N($F65),$E65)+($E65-MIN(N($F65),$E65))*(1-$I65)))</f>
        <v/>
      </c>
      <c r="U65" s="23" t="str">
        <f aca="false">IF(OR($T65="",$Q65=""),"",1-(1-$T65)^$Q65)</f>
        <v/>
      </c>
      <c r="V65" s="23" t="str">
        <f aca="false">IF($M65&lt;&gt;"",$M65,IF($G65="","",MAX(1,(Setup!$B$6/$G65)^Setup!$B$7)))</f>
        <v/>
      </c>
      <c r="W65" s="22" t="str">
        <f aca="false">IF(COUNT($J65:$L65)&lt;3,"",Setup!$B$10*(6-$J65)+Setup!$B$11*$K65+Setup!$B$12*$L65)</f>
        <v/>
      </c>
      <c r="X65" s="23" t="str">
        <f aca="false">IF($W65="","",IF(LEFT(Setup!$B$15,1)="B",EXP(Setup!$B$14*($W65-1)),1+Setup!$B$14*($W65-1)))</f>
        <v/>
      </c>
      <c r="Y65" s="23" t="str">
        <f aca="false">IF($N65&lt;&gt;"",$N65,$X65)</f>
        <v/>
      </c>
      <c r="Z65" s="22" t="str">
        <f aca="false">IF(OR($H65="",$U65="",$V65=""),"",$H65*$U65*$V65)</f>
        <v/>
      </c>
      <c r="AA65" s="22" t="str">
        <f aca="false">IF(OR($Z65="",$Y65=""),"",$Z65*$Y65)</f>
        <v/>
      </c>
      <c r="AB65" s="1" t="str">
        <f aca="false">IF($A65="","",IF(OR($E65="",$G65="",$H65="",$I65="",AND($N65="",COUNT($J65:$L65)&lt;3)),"Missing: "&amp;IF($E65="","P ","")&amp;IF($G65="","T ","")&amp;IF($H65="","I ","")&amp;IF($I65="","C ","")&amp;IF(AND($N65="",COUNT($J65:$L65)&lt;3),"C_ctrl/C_ext/C_irr",""),IF(N($F65)&gt;$E65,"P_floor &gt; P (floor capped at P)","OK")))</f>
        <v/>
      </c>
      <c r="AC65" s="1" t="str">
        <f aca="false">IF($AA65="","",$AA65+ROW()/1000000)</f>
        <v/>
      </c>
      <c r="AD65" s="18" t="n">
        <f aca="false">IF(AND($A65&lt;&gt;"",ISNUMBER($AA65)),1,0)</f>
        <v>0</v>
      </c>
      <c r="AE65" s="18" t="n">
        <f aca="false">IF($AD65=1,$H65,0)</f>
        <v>0</v>
      </c>
      <c r="AF65" s="18" t="n">
        <f aca="false">IF($AD65=1,$E65,0)</f>
        <v>0</v>
      </c>
      <c r="AG65" s="18" t="n">
        <f aca="false">IF($AD65=1,MIN(N($F65),$E65),0)</f>
        <v>0</v>
      </c>
      <c r="AH65" s="18" t="n">
        <f aca="false">IF($AD65=1,$I65,0)</f>
        <v>0</v>
      </c>
      <c r="AI65" s="18" t="n">
        <f aca="false">IF($AD65=1,$G65,1)</f>
        <v>1</v>
      </c>
      <c r="AJ65" s="18" t="n">
        <f aca="false">IF($AD65=1,$V65,1)</f>
        <v>1</v>
      </c>
      <c r="AK65" s="18" t="n">
        <f aca="false">IF($AD65=1,$Y65,1)</f>
        <v>1</v>
      </c>
    </row>
    <row r="66" customFormat="false" ht="15" hidden="false" customHeight="false" outlineLevel="0" collapsed="false">
      <c r="A66" s="10"/>
      <c r="B66" s="10"/>
      <c r="C66" s="12"/>
      <c r="D66" s="17"/>
      <c r="E66" s="13"/>
      <c r="F66" s="21"/>
      <c r="G66" s="12"/>
      <c r="H66" s="12"/>
      <c r="I66" s="12"/>
      <c r="J66" s="12"/>
      <c r="K66" s="12"/>
      <c r="L66" s="12"/>
      <c r="M66" s="15"/>
      <c r="N66" s="15"/>
      <c r="O66" s="12"/>
      <c r="P66" s="17"/>
      <c r="Q66" s="22" t="str">
        <f aca="false">IF(OR($G66="",Setup!$B$5=""),"",Setup!$B$5/$G66)</f>
        <v/>
      </c>
      <c r="R66" s="23" t="str">
        <f aca="false">IF(OR($E66="",$Q66=""),"",1-(1-$E66)^$Q66)</f>
        <v/>
      </c>
      <c r="S66" s="22" t="str">
        <f aca="false">IF(OR($R66="",$H66=""),"",$H66*$R66)</f>
        <v/>
      </c>
      <c r="T66" s="23" t="str">
        <f aca="false">IF(OR($E66="",$I66=""),"",MIN(1,MIN(N($F66),$E66)+($E66-MIN(N($F66),$E66))*(1-$I66)))</f>
        <v/>
      </c>
      <c r="U66" s="23" t="str">
        <f aca="false">IF(OR($T66="",$Q66=""),"",1-(1-$T66)^$Q66)</f>
        <v/>
      </c>
      <c r="V66" s="23" t="str">
        <f aca="false">IF($M66&lt;&gt;"",$M66,IF($G66="","",MAX(1,(Setup!$B$6/$G66)^Setup!$B$7)))</f>
        <v/>
      </c>
      <c r="W66" s="22" t="str">
        <f aca="false">IF(COUNT($J66:$L66)&lt;3,"",Setup!$B$10*(6-$J66)+Setup!$B$11*$K66+Setup!$B$12*$L66)</f>
        <v/>
      </c>
      <c r="X66" s="23" t="str">
        <f aca="false">IF($W66="","",IF(LEFT(Setup!$B$15,1)="B",EXP(Setup!$B$14*($W66-1)),1+Setup!$B$14*($W66-1)))</f>
        <v/>
      </c>
      <c r="Y66" s="23" t="str">
        <f aca="false">IF($N66&lt;&gt;"",$N66,$X66)</f>
        <v/>
      </c>
      <c r="Z66" s="22" t="str">
        <f aca="false">IF(OR($H66="",$U66="",$V66=""),"",$H66*$U66*$V66)</f>
        <v/>
      </c>
      <c r="AA66" s="22" t="str">
        <f aca="false">IF(OR($Z66="",$Y66=""),"",$Z66*$Y66)</f>
        <v/>
      </c>
      <c r="AB66" s="1" t="str">
        <f aca="false">IF($A66="","",IF(OR($E66="",$G66="",$H66="",$I66="",AND($N66="",COUNT($J66:$L66)&lt;3)),"Missing: "&amp;IF($E66="","P ","")&amp;IF($G66="","T ","")&amp;IF($H66="","I ","")&amp;IF($I66="","C ","")&amp;IF(AND($N66="",COUNT($J66:$L66)&lt;3),"C_ctrl/C_ext/C_irr",""),IF(N($F66)&gt;$E66,"P_floor &gt; P (floor capped at P)","OK")))</f>
        <v/>
      </c>
      <c r="AC66" s="1" t="str">
        <f aca="false">IF($AA66="","",$AA66+ROW()/1000000)</f>
        <v/>
      </c>
      <c r="AD66" s="18" t="n">
        <f aca="false">IF(AND($A66&lt;&gt;"",ISNUMBER($AA66)),1,0)</f>
        <v>0</v>
      </c>
      <c r="AE66" s="18" t="n">
        <f aca="false">IF($AD66=1,$H66,0)</f>
        <v>0</v>
      </c>
      <c r="AF66" s="18" t="n">
        <f aca="false">IF($AD66=1,$E66,0)</f>
        <v>0</v>
      </c>
      <c r="AG66" s="18" t="n">
        <f aca="false">IF($AD66=1,MIN(N($F66),$E66),0)</f>
        <v>0</v>
      </c>
      <c r="AH66" s="18" t="n">
        <f aca="false">IF($AD66=1,$I66,0)</f>
        <v>0</v>
      </c>
      <c r="AI66" s="18" t="n">
        <f aca="false">IF($AD66=1,$G66,1)</f>
        <v>1</v>
      </c>
      <c r="AJ66" s="18" t="n">
        <f aca="false">IF($AD66=1,$V66,1)</f>
        <v>1</v>
      </c>
      <c r="AK66" s="18" t="n">
        <f aca="false">IF($AD66=1,$Y66,1)</f>
        <v>1</v>
      </c>
    </row>
    <row r="67" customFormat="false" ht="15" hidden="false" customHeight="false" outlineLevel="0" collapsed="false">
      <c r="A67" s="10"/>
      <c r="B67" s="10"/>
      <c r="C67" s="12"/>
      <c r="D67" s="17"/>
      <c r="E67" s="13"/>
      <c r="F67" s="21"/>
      <c r="G67" s="12"/>
      <c r="H67" s="12"/>
      <c r="I67" s="12"/>
      <c r="J67" s="12"/>
      <c r="K67" s="12"/>
      <c r="L67" s="12"/>
      <c r="M67" s="15"/>
      <c r="N67" s="15"/>
      <c r="O67" s="12"/>
      <c r="P67" s="17"/>
      <c r="Q67" s="22" t="str">
        <f aca="false">IF(OR($G67="",Setup!$B$5=""),"",Setup!$B$5/$G67)</f>
        <v/>
      </c>
      <c r="R67" s="23" t="str">
        <f aca="false">IF(OR($E67="",$Q67=""),"",1-(1-$E67)^$Q67)</f>
        <v/>
      </c>
      <c r="S67" s="22" t="str">
        <f aca="false">IF(OR($R67="",$H67=""),"",$H67*$R67)</f>
        <v/>
      </c>
      <c r="T67" s="23" t="str">
        <f aca="false">IF(OR($E67="",$I67=""),"",MIN(1,MIN(N($F67),$E67)+($E67-MIN(N($F67),$E67))*(1-$I67)))</f>
        <v/>
      </c>
      <c r="U67" s="23" t="str">
        <f aca="false">IF(OR($T67="",$Q67=""),"",1-(1-$T67)^$Q67)</f>
        <v/>
      </c>
      <c r="V67" s="23" t="str">
        <f aca="false">IF($M67&lt;&gt;"",$M67,IF($G67="","",MAX(1,(Setup!$B$6/$G67)^Setup!$B$7)))</f>
        <v/>
      </c>
      <c r="W67" s="22" t="str">
        <f aca="false">IF(COUNT($J67:$L67)&lt;3,"",Setup!$B$10*(6-$J67)+Setup!$B$11*$K67+Setup!$B$12*$L67)</f>
        <v/>
      </c>
      <c r="X67" s="23" t="str">
        <f aca="false">IF($W67="","",IF(LEFT(Setup!$B$15,1)="B",EXP(Setup!$B$14*($W67-1)),1+Setup!$B$14*($W67-1)))</f>
        <v/>
      </c>
      <c r="Y67" s="23" t="str">
        <f aca="false">IF($N67&lt;&gt;"",$N67,$X67)</f>
        <v/>
      </c>
      <c r="Z67" s="22" t="str">
        <f aca="false">IF(OR($H67="",$U67="",$V67=""),"",$H67*$U67*$V67)</f>
        <v/>
      </c>
      <c r="AA67" s="22" t="str">
        <f aca="false">IF(OR($Z67="",$Y67=""),"",$Z67*$Y67)</f>
        <v/>
      </c>
      <c r="AB67" s="1" t="str">
        <f aca="false">IF($A67="","",IF(OR($E67="",$G67="",$H67="",$I67="",AND($N67="",COUNT($J67:$L67)&lt;3)),"Missing: "&amp;IF($E67="","P ","")&amp;IF($G67="","T ","")&amp;IF($H67="","I ","")&amp;IF($I67="","C ","")&amp;IF(AND($N67="",COUNT($J67:$L67)&lt;3),"C_ctrl/C_ext/C_irr",""),IF(N($F67)&gt;$E67,"P_floor &gt; P (floor capped at P)","OK")))</f>
        <v/>
      </c>
      <c r="AC67" s="1" t="str">
        <f aca="false">IF($AA67="","",$AA67+ROW()/1000000)</f>
        <v/>
      </c>
      <c r="AD67" s="18" t="n">
        <f aca="false">IF(AND($A67&lt;&gt;"",ISNUMBER($AA67)),1,0)</f>
        <v>0</v>
      </c>
      <c r="AE67" s="18" t="n">
        <f aca="false">IF($AD67=1,$H67,0)</f>
        <v>0</v>
      </c>
      <c r="AF67" s="18" t="n">
        <f aca="false">IF($AD67=1,$E67,0)</f>
        <v>0</v>
      </c>
      <c r="AG67" s="18" t="n">
        <f aca="false">IF($AD67=1,MIN(N($F67),$E67),0)</f>
        <v>0</v>
      </c>
      <c r="AH67" s="18" t="n">
        <f aca="false">IF($AD67=1,$I67,0)</f>
        <v>0</v>
      </c>
      <c r="AI67" s="18" t="n">
        <f aca="false">IF($AD67=1,$G67,1)</f>
        <v>1</v>
      </c>
      <c r="AJ67" s="18" t="n">
        <f aca="false">IF($AD67=1,$V67,1)</f>
        <v>1</v>
      </c>
      <c r="AK67" s="18" t="n">
        <f aca="false">IF($AD67=1,$Y67,1)</f>
        <v>1</v>
      </c>
    </row>
    <row r="68" customFormat="false" ht="15" hidden="false" customHeight="false" outlineLevel="0" collapsed="false">
      <c r="A68" s="10"/>
      <c r="B68" s="10"/>
      <c r="C68" s="12"/>
      <c r="D68" s="17"/>
      <c r="E68" s="13"/>
      <c r="F68" s="21"/>
      <c r="G68" s="12"/>
      <c r="H68" s="12"/>
      <c r="I68" s="12"/>
      <c r="J68" s="12"/>
      <c r="K68" s="12"/>
      <c r="L68" s="12"/>
      <c r="M68" s="15"/>
      <c r="N68" s="15"/>
      <c r="O68" s="12"/>
      <c r="P68" s="17"/>
      <c r="Q68" s="22" t="str">
        <f aca="false">IF(OR($G68="",Setup!$B$5=""),"",Setup!$B$5/$G68)</f>
        <v/>
      </c>
      <c r="R68" s="23" t="str">
        <f aca="false">IF(OR($E68="",$Q68=""),"",1-(1-$E68)^$Q68)</f>
        <v/>
      </c>
      <c r="S68" s="22" t="str">
        <f aca="false">IF(OR($R68="",$H68=""),"",$H68*$R68)</f>
        <v/>
      </c>
      <c r="T68" s="23" t="str">
        <f aca="false">IF(OR($E68="",$I68=""),"",MIN(1,MIN(N($F68),$E68)+($E68-MIN(N($F68),$E68))*(1-$I68)))</f>
        <v/>
      </c>
      <c r="U68" s="23" t="str">
        <f aca="false">IF(OR($T68="",$Q68=""),"",1-(1-$T68)^$Q68)</f>
        <v/>
      </c>
      <c r="V68" s="23" t="str">
        <f aca="false">IF($M68&lt;&gt;"",$M68,IF($G68="","",MAX(1,(Setup!$B$6/$G68)^Setup!$B$7)))</f>
        <v/>
      </c>
      <c r="W68" s="22" t="str">
        <f aca="false">IF(COUNT($J68:$L68)&lt;3,"",Setup!$B$10*(6-$J68)+Setup!$B$11*$K68+Setup!$B$12*$L68)</f>
        <v/>
      </c>
      <c r="X68" s="23" t="str">
        <f aca="false">IF($W68="","",IF(LEFT(Setup!$B$15,1)="B",EXP(Setup!$B$14*($W68-1)),1+Setup!$B$14*($W68-1)))</f>
        <v/>
      </c>
      <c r="Y68" s="23" t="str">
        <f aca="false">IF($N68&lt;&gt;"",$N68,$X68)</f>
        <v/>
      </c>
      <c r="Z68" s="22" t="str">
        <f aca="false">IF(OR($H68="",$U68="",$V68=""),"",$H68*$U68*$V68)</f>
        <v/>
      </c>
      <c r="AA68" s="22" t="str">
        <f aca="false">IF(OR($Z68="",$Y68=""),"",$Z68*$Y68)</f>
        <v/>
      </c>
      <c r="AB68" s="1" t="str">
        <f aca="false">IF($A68="","",IF(OR($E68="",$G68="",$H68="",$I68="",AND($N68="",COUNT($J68:$L68)&lt;3)),"Missing: "&amp;IF($E68="","P ","")&amp;IF($G68="","T ","")&amp;IF($H68="","I ","")&amp;IF($I68="","C ","")&amp;IF(AND($N68="",COUNT($J68:$L68)&lt;3),"C_ctrl/C_ext/C_irr",""),IF(N($F68)&gt;$E68,"P_floor &gt; P (floor capped at P)","OK")))</f>
        <v/>
      </c>
      <c r="AC68" s="1" t="str">
        <f aca="false">IF($AA68="","",$AA68+ROW()/1000000)</f>
        <v/>
      </c>
      <c r="AD68" s="18" t="n">
        <f aca="false">IF(AND($A68&lt;&gt;"",ISNUMBER($AA68)),1,0)</f>
        <v>0</v>
      </c>
      <c r="AE68" s="18" t="n">
        <f aca="false">IF($AD68=1,$H68,0)</f>
        <v>0</v>
      </c>
      <c r="AF68" s="18" t="n">
        <f aca="false">IF($AD68=1,$E68,0)</f>
        <v>0</v>
      </c>
      <c r="AG68" s="18" t="n">
        <f aca="false">IF($AD68=1,MIN(N($F68),$E68),0)</f>
        <v>0</v>
      </c>
      <c r="AH68" s="18" t="n">
        <f aca="false">IF($AD68=1,$I68,0)</f>
        <v>0</v>
      </c>
      <c r="AI68" s="18" t="n">
        <f aca="false">IF($AD68=1,$G68,1)</f>
        <v>1</v>
      </c>
      <c r="AJ68" s="18" t="n">
        <f aca="false">IF($AD68=1,$V68,1)</f>
        <v>1</v>
      </c>
      <c r="AK68" s="18" t="n">
        <f aca="false">IF($AD68=1,$Y68,1)</f>
        <v>1</v>
      </c>
    </row>
    <row r="69" customFormat="false" ht="15" hidden="false" customHeight="false" outlineLevel="0" collapsed="false">
      <c r="A69" s="10"/>
      <c r="B69" s="10"/>
      <c r="C69" s="12"/>
      <c r="D69" s="17"/>
      <c r="E69" s="13"/>
      <c r="F69" s="21"/>
      <c r="G69" s="12"/>
      <c r="H69" s="12"/>
      <c r="I69" s="12"/>
      <c r="J69" s="12"/>
      <c r="K69" s="12"/>
      <c r="L69" s="12"/>
      <c r="M69" s="15"/>
      <c r="N69" s="15"/>
      <c r="O69" s="12"/>
      <c r="P69" s="17"/>
      <c r="Q69" s="22" t="str">
        <f aca="false">IF(OR($G69="",Setup!$B$5=""),"",Setup!$B$5/$G69)</f>
        <v/>
      </c>
      <c r="R69" s="23" t="str">
        <f aca="false">IF(OR($E69="",$Q69=""),"",1-(1-$E69)^$Q69)</f>
        <v/>
      </c>
      <c r="S69" s="22" t="str">
        <f aca="false">IF(OR($R69="",$H69=""),"",$H69*$R69)</f>
        <v/>
      </c>
      <c r="T69" s="23" t="str">
        <f aca="false">IF(OR($E69="",$I69=""),"",MIN(1,MIN(N($F69),$E69)+($E69-MIN(N($F69),$E69))*(1-$I69)))</f>
        <v/>
      </c>
      <c r="U69" s="23" t="str">
        <f aca="false">IF(OR($T69="",$Q69=""),"",1-(1-$T69)^$Q69)</f>
        <v/>
      </c>
      <c r="V69" s="23" t="str">
        <f aca="false">IF($M69&lt;&gt;"",$M69,IF($G69="","",MAX(1,(Setup!$B$6/$G69)^Setup!$B$7)))</f>
        <v/>
      </c>
      <c r="W69" s="22" t="str">
        <f aca="false">IF(COUNT($J69:$L69)&lt;3,"",Setup!$B$10*(6-$J69)+Setup!$B$11*$K69+Setup!$B$12*$L69)</f>
        <v/>
      </c>
      <c r="X69" s="23" t="str">
        <f aca="false">IF($W69="","",IF(LEFT(Setup!$B$15,1)="B",EXP(Setup!$B$14*($W69-1)),1+Setup!$B$14*($W69-1)))</f>
        <v/>
      </c>
      <c r="Y69" s="23" t="str">
        <f aca="false">IF($N69&lt;&gt;"",$N69,$X69)</f>
        <v/>
      </c>
      <c r="Z69" s="22" t="str">
        <f aca="false">IF(OR($H69="",$U69="",$V69=""),"",$H69*$U69*$V69)</f>
        <v/>
      </c>
      <c r="AA69" s="22" t="str">
        <f aca="false">IF(OR($Z69="",$Y69=""),"",$Z69*$Y69)</f>
        <v/>
      </c>
      <c r="AB69" s="1" t="str">
        <f aca="false">IF($A69="","",IF(OR($E69="",$G69="",$H69="",$I69="",AND($N69="",COUNT($J69:$L69)&lt;3)),"Missing: "&amp;IF($E69="","P ","")&amp;IF($G69="","T ","")&amp;IF($H69="","I ","")&amp;IF($I69="","C ","")&amp;IF(AND($N69="",COUNT($J69:$L69)&lt;3),"C_ctrl/C_ext/C_irr",""),IF(N($F69)&gt;$E69,"P_floor &gt; P (floor capped at P)","OK")))</f>
        <v/>
      </c>
      <c r="AC69" s="1" t="str">
        <f aca="false">IF($AA69="","",$AA69+ROW()/1000000)</f>
        <v/>
      </c>
      <c r="AD69" s="18" t="n">
        <f aca="false">IF(AND($A69&lt;&gt;"",ISNUMBER($AA69)),1,0)</f>
        <v>0</v>
      </c>
      <c r="AE69" s="18" t="n">
        <f aca="false">IF($AD69=1,$H69,0)</f>
        <v>0</v>
      </c>
      <c r="AF69" s="18" t="n">
        <f aca="false">IF($AD69=1,$E69,0)</f>
        <v>0</v>
      </c>
      <c r="AG69" s="18" t="n">
        <f aca="false">IF($AD69=1,MIN(N($F69),$E69),0)</f>
        <v>0</v>
      </c>
      <c r="AH69" s="18" t="n">
        <f aca="false">IF($AD69=1,$I69,0)</f>
        <v>0</v>
      </c>
      <c r="AI69" s="18" t="n">
        <f aca="false">IF($AD69=1,$G69,1)</f>
        <v>1</v>
      </c>
      <c r="AJ69" s="18" t="n">
        <f aca="false">IF($AD69=1,$V69,1)</f>
        <v>1</v>
      </c>
      <c r="AK69" s="18" t="n">
        <f aca="false">IF($AD69=1,$Y69,1)</f>
        <v>1</v>
      </c>
    </row>
    <row r="70" customFormat="false" ht="15" hidden="false" customHeight="false" outlineLevel="0" collapsed="false">
      <c r="A70" s="10"/>
      <c r="B70" s="10"/>
      <c r="C70" s="12"/>
      <c r="D70" s="17"/>
      <c r="E70" s="13"/>
      <c r="F70" s="21"/>
      <c r="G70" s="12"/>
      <c r="H70" s="12"/>
      <c r="I70" s="12"/>
      <c r="J70" s="12"/>
      <c r="K70" s="12"/>
      <c r="L70" s="12"/>
      <c r="M70" s="15"/>
      <c r="N70" s="15"/>
      <c r="O70" s="12"/>
      <c r="P70" s="17"/>
      <c r="Q70" s="22" t="str">
        <f aca="false">IF(OR($G70="",Setup!$B$5=""),"",Setup!$B$5/$G70)</f>
        <v/>
      </c>
      <c r="R70" s="23" t="str">
        <f aca="false">IF(OR($E70="",$Q70=""),"",1-(1-$E70)^$Q70)</f>
        <v/>
      </c>
      <c r="S70" s="22" t="str">
        <f aca="false">IF(OR($R70="",$H70=""),"",$H70*$R70)</f>
        <v/>
      </c>
      <c r="T70" s="23" t="str">
        <f aca="false">IF(OR($E70="",$I70=""),"",MIN(1,MIN(N($F70),$E70)+($E70-MIN(N($F70),$E70))*(1-$I70)))</f>
        <v/>
      </c>
      <c r="U70" s="23" t="str">
        <f aca="false">IF(OR($T70="",$Q70=""),"",1-(1-$T70)^$Q70)</f>
        <v/>
      </c>
      <c r="V70" s="23" t="str">
        <f aca="false">IF($M70&lt;&gt;"",$M70,IF($G70="","",MAX(1,(Setup!$B$6/$G70)^Setup!$B$7)))</f>
        <v/>
      </c>
      <c r="W70" s="22" t="str">
        <f aca="false">IF(COUNT($J70:$L70)&lt;3,"",Setup!$B$10*(6-$J70)+Setup!$B$11*$K70+Setup!$B$12*$L70)</f>
        <v/>
      </c>
      <c r="X70" s="23" t="str">
        <f aca="false">IF($W70="","",IF(LEFT(Setup!$B$15,1)="B",EXP(Setup!$B$14*($W70-1)),1+Setup!$B$14*($W70-1)))</f>
        <v/>
      </c>
      <c r="Y70" s="23" t="str">
        <f aca="false">IF($N70&lt;&gt;"",$N70,$X70)</f>
        <v/>
      </c>
      <c r="Z70" s="22" t="str">
        <f aca="false">IF(OR($H70="",$U70="",$V70=""),"",$H70*$U70*$V70)</f>
        <v/>
      </c>
      <c r="AA70" s="22" t="str">
        <f aca="false">IF(OR($Z70="",$Y70=""),"",$Z70*$Y70)</f>
        <v/>
      </c>
      <c r="AB70" s="1" t="str">
        <f aca="false">IF($A70="","",IF(OR($E70="",$G70="",$H70="",$I70="",AND($N70="",COUNT($J70:$L70)&lt;3)),"Missing: "&amp;IF($E70="","P ","")&amp;IF($G70="","T ","")&amp;IF($H70="","I ","")&amp;IF($I70="","C ","")&amp;IF(AND($N70="",COUNT($J70:$L70)&lt;3),"C_ctrl/C_ext/C_irr",""),IF(N($F70)&gt;$E70,"P_floor &gt; P (floor capped at P)","OK")))</f>
        <v/>
      </c>
      <c r="AC70" s="1" t="str">
        <f aca="false">IF($AA70="","",$AA70+ROW()/1000000)</f>
        <v/>
      </c>
      <c r="AD70" s="18" t="n">
        <f aca="false">IF(AND($A70&lt;&gt;"",ISNUMBER($AA70)),1,0)</f>
        <v>0</v>
      </c>
      <c r="AE70" s="18" t="n">
        <f aca="false">IF($AD70=1,$H70,0)</f>
        <v>0</v>
      </c>
      <c r="AF70" s="18" t="n">
        <f aca="false">IF($AD70=1,$E70,0)</f>
        <v>0</v>
      </c>
      <c r="AG70" s="18" t="n">
        <f aca="false">IF($AD70=1,MIN(N($F70),$E70),0)</f>
        <v>0</v>
      </c>
      <c r="AH70" s="18" t="n">
        <f aca="false">IF($AD70=1,$I70,0)</f>
        <v>0</v>
      </c>
      <c r="AI70" s="18" t="n">
        <f aca="false">IF($AD70=1,$G70,1)</f>
        <v>1</v>
      </c>
      <c r="AJ70" s="18" t="n">
        <f aca="false">IF($AD70=1,$V70,1)</f>
        <v>1</v>
      </c>
      <c r="AK70" s="18" t="n">
        <f aca="false">IF($AD70=1,$Y70,1)</f>
        <v>1</v>
      </c>
    </row>
    <row r="71" customFormat="false" ht="15" hidden="false" customHeight="false" outlineLevel="0" collapsed="false">
      <c r="A71" s="10"/>
      <c r="B71" s="10"/>
      <c r="C71" s="12"/>
      <c r="D71" s="17"/>
      <c r="E71" s="13"/>
      <c r="F71" s="21"/>
      <c r="G71" s="12"/>
      <c r="H71" s="12"/>
      <c r="I71" s="12"/>
      <c r="J71" s="12"/>
      <c r="K71" s="12"/>
      <c r="L71" s="12"/>
      <c r="M71" s="15"/>
      <c r="N71" s="15"/>
      <c r="O71" s="12"/>
      <c r="P71" s="17"/>
      <c r="Q71" s="22" t="str">
        <f aca="false">IF(OR($G71="",Setup!$B$5=""),"",Setup!$B$5/$G71)</f>
        <v/>
      </c>
      <c r="R71" s="23" t="str">
        <f aca="false">IF(OR($E71="",$Q71=""),"",1-(1-$E71)^$Q71)</f>
        <v/>
      </c>
      <c r="S71" s="22" t="str">
        <f aca="false">IF(OR($R71="",$H71=""),"",$H71*$R71)</f>
        <v/>
      </c>
      <c r="T71" s="23" t="str">
        <f aca="false">IF(OR($E71="",$I71=""),"",MIN(1,MIN(N($F71),$E71)+($E71-MIN(N($F71),$E71))*(1-$I71)))</f>
        <v/>
      </c>
      <c r="U71" s="23" t="str">
        <f aca="false">IF(OR($T71="",$Q71=""),"",1-(1-$T71)^$Q71)</f>
        <v/>
      </c>
      <c r="V71" s="23" t="str">
        <f aca="false">IF($M71&lt;&gt;"",$M71,IF($G71="","",MAX(1,(Setup!$B$6/$G71)^Setup!$B$7)))</f>
        <v/>
      </c>
      <c r="W71" s="22" t="str">
        <f aca="false">IF(COUNT($J71:$L71)&lt;3,"",Setup!$B$10*(6-$J71)+Setup!$B$11*$K71+Setup!$B$12*$L71)</f>
        <v/>
      </c>
      <c r="X71" s="23" t="str">
        <f aca="false">IF($W71="","",IF(LEFT(Setup!$B$15,1)="B",EXP(Setup!$B$14*($W71-1)),1+Setup!$B$14*($W71-1)))</f>
        <v/>
      </c>
      <c r="Y71" s="23" t="str">
        <f aca="false">IF($N71&lt;&gt;"",$N71,$X71)</f>
        <v/>
      </c>
      <c r="Z71" s="22" t="str">
        <f aca="false">IF(OR($H71="",$U71="",$V71=""),"",$H71*$U71*$V71)</f>
        <v/>
      </c>
      <c r="AA71" s="22" t="str">
        <f aca="false">IF(OR($Z71="",$Y71=""),"",$Z71*$Y71)</f>
        <v/>
      </c>
      <c r="AB71" s="1" t="str">
        <f aca="false">IF($A71="","",IF(OR($E71="",$G71="",$H71="",$I71="",AND($N71="",COUNT($J71:$L71)&lt;3)),"Missing: "&amp;IF($E71="","P ","")&amp;IF($G71="","T ","")&amp;IF($H71="","I ","")&amp;IF($I71="","C ","")&amp;IF(AND($N71="",COUNT($J71:$L71)&lt;3),"C_ctrl/C_ext/C_irr",""),IF(N($F71)&gt;$E71,"P_floor &gt; P (floor capped at P)","OK")))</f>
        <v/>
      </c>
      <c r="AC71" s="1" t="str">
        <f aca="false">IF($AA71="","",$AA71+ROW()/1000000)</f>
        <v/>
      </c>
      <c r="AD71" s="18" t="n">
        <f aca="false">IF(AND($A71&lt;&gt;"",ISNUMBER($AA71)),1,0)</f>
        <v>0</v>
      </c>
      <c r="AE71" s="18" t="n">
        <f aca="false">IF($AD71=1,$H71,0)</f>
        <v>0</v>
      </c>
      <c r="AF71" s="18" t="n">
        <f aca="false">IF($AD71=1,$E71,0)</f>
        <v>0</v>
      </c>
      <c r="AG71" s="18" t="n">
        <f aca="false">IF($AD71=1,MIN(N($F71),$E71),0)</f>
        <v>0</v>
      </c>
      <c r="AH71" s="18" t="n">
        <f aca="false">IF($AD71=1,$I71,0)</f>
        <v>0</v>
      </c>
      <c r="AI71" s="18" t="n">
        <f aca="false">IF($AD71=1,$G71,1)</f>
        <v>1</v>
      </c>
      <c r="AJ71" s="18" t="n">
        <f aca="false">IF($AD71=1,$V71,1)</f>
        <v>1</v>
      </c>
      <c r="AK71" s="18" t="n">
        <f aca="false">IF($AD71=1,$Y71,1)</f>
        <v>1</v>
      </c>
    </row>
    <row r="72" customFormat="false" ht="15" hidden="false" customHeight="false" outlineLevel="0" collapsed="false">
      <c r="A72" s="10"/>
      <c r="B72" s="10"/>
      <c r="C72" s="12"/>
      <c r="D72" s="17"/>
      <c r="E72" s="13"/>
      <c r="F72" s="21"/>
      <c r="G72" s="12"/>
      <c r="H72" s="12"/>
      <c r="I72" s="12"/>
      <c r="J72" s="12"/>
      <c r="K72" s="12"/>
      <c r="L72" s="12"/>
      <c r="M72" s="15"/>
      <c r="N72" s="15"/>
      <c r="O72" s="12"/>
      <c r="P72" s="17"/>
      <c r="Q72" s="22" t="str">
        <f aca="false">IF(OR($G72="",Setup!$B$5=""),"",Setup!$B$5/$G72)</f>
        <v/>
      </c>
      <c r="R72" s="23" t="str">
        <f aca="false">IF(OR($E72="",$Q72=""),"",1-(1-$E72)^$Q72)</f>
        <v/>
      </c>
      <c r="S72" s="22" t="str">
        <f aca="false">IF(OR($R72="",$H72=""),"",$H72*$R72)</f>
        <v/>
      </c>
      <c r="T72" s="23" t="str">
        <f aca="false">IF(OR($E72="",$I72=""),"",MIN(1,MIN(N($F72),$E72)+($E72-MIN(N($F72),$E72))*(1-$I72)))</f>
        <v/>
      </c>
      <c r="U72" s="23" t="str">
        <f aca="false">IF(OR($T72="",$Q72=""),"",1-(1-$T72)^$Q72)</f>
        <v/>
      </c>
      <c r="V72" s="23" t="str">
        <f aca="false">IF($M72&lt;&gt;"",$M72,IF($G72="","",MAX(1,(Setup!$B$6/$G72)^Setup!$B$7)))</f>
        <v/>
      </c>
      <c r="W72" s="22" t="str">
        <f aca="false">IF(COUNT($J72:$L72)&lt;3,"",Setup!$B$10*(6-$J72)+Setup!$B$11*$K72+Setup!$B$12*$L72)</f>
        <v/>
      </c>
      <c r="X72" s="23" t="str">
        <f aca="false">IF($W72="","",IF(LEFT(Setup!$B$15,1)="B",EXP(Setup!$B$14*($W72-1)),1+Setup!$B$14*($W72-1)))</f>
        <v/>
      </c>
      <c r="Y72" s="23" t="str">
        <f aca="false">IF($N72&lt;&gt;"",$N72,$X72)</f>
        <v/>
      </c>
      <c r="Z72" s="22" t="str">
        <f aca="false">IF(OR($H72="",$U72="",$V72=""),"",$H72*$U72*$V72)</f>
        <v/>
      </c>
      <c r="AA72" s="22" t="str">
        <f aca="false">IF(OR($Z72="",$Y72=""),"",$Z72*$Y72)</f>
        <v/>
      </c>
      <c r="AB72" s="1" t="str">
        <f aca="false">IF($A72="","",IF(OR($E72="",$G72="",$H72="",$I72="",AND($N72="",COUNT($J72:$L72)&lt;3)),"Missing: "&amp;IF($E72="","P ","")&amp;IF($G72="","T ","")&amp;IF($H72="","I ","")&amp;IF($I72="","C ","")&amp;IF(AND($N72="",COUNT($J72:$L72)&lt;3),"C_ctrl/C_ext/C_irr",""),IF(N($F72)&gt;$E72,"P_floor &gt; P (floor capped at P)","OK")))</f>
        <v/>
      </c>
      <c r="AC72" s="1" t="str">
        <f aca="false">IF($AA72="","",$AA72+ROW()/1000000)</f>
        <v/>
      </c>
      <c r="AD72" s="18" t="n">
        <f aca="false">IF(AND($A72&lt;&gt;"",ISNUMBER($AA72)),1,0)</f>
        <v>0</v>
      </c>
      <c r="AE72" s="18" t="n">
        <f aca="false">IF($AD72=1,$H72,0)</f>
        <v>0</v>
      </c>
      <c r="AF72" s="18" t="n">
        <f aca="false">IF($AD72=1,$E72,0)</f>
        <v>0</v>
      </c>
      <c r="AG72" s="18" t="n">
        <f aca="false">IF($AD72=1,MIN(N($F72),$E72),0)</f>
        <v>0</v>
      </c>
      <c r="AH72" s="18" t="n">
        <f aca="false">IF($AD72=1,$I72,0)</f>
        <v>0</v>
      </c>
      <c r="AI72" s="18" t="n">
        <f aca="false">IF($AD72=1,$G72,1)</f>
        <v>1</v>
      </c>
      <c r="AJ72" s="18" t="n">
        <f aca="false">IF($AD72=1,$V72,1)</f>
        <v>1</v>
      </c>
      <c r="AK72" s="18" t="n">
        <f aca="false">IF($AD72=1,$Y72,1)</f>
        <v>1</v>
      </c>
    </row>
    <row r="73" customFormat="false" ht="15" hidden="false" customHeight="false" outlineLevel="0" collapsed="false">
      <c r="A73" s="10"/>
      <c r="B73" s="10"/>
      <c r="C73" s="12"/>
      <c r="D73" s="17"/>
      <c r="E73" s="13"/>
      <c r="F73" s="21"/>
      <c r="G73" s="12"/>
      <c r="H73" s="12"/>
      <c r="I73" s="12"/>
      <c r="J73" s="12"/>
      <c r="K73" s="12"/>
      <c r="L73" s="12"/>
      <c r="M73" s="15"/>
      <c r="N73" s="15"/>
      <c r="O73" s="12"/>
      <c r="P73" s="17"/>
      <c r="Q73" s="22" t="str">
        <f aca="false">IF(OR($G73="",Setup!$B$5=""),"",Setup!$B$5/$G73)</f>
        <v/>
      </c>
      <c r="R73" s="23" t="str">
        <f aca="false">IF(OR($E73="",$Q73=""),"",1-(1-$E73)^$Q73)</f>
        <v/>
      </c>
      <c r="S73" s="22" t="str">
        <f aca="false">IF(OR($R73="",$H73=""),"",$H73*$R73)</f>
        <v/>
      </c>
      <c r="T73" s="23" t="str">
        <f aca="false">IF(OR($E73="",$I73=""),"",MIN(1,MIN(N($F73),$E73)+($E73-MIN(N($F73),$E73))*(1-$I73)))</f>
        <v/>
      </c>
      <c r="U73" s="23" t="str">
        <f aca="false">IF(OR($T73="",$Q73=""),"",1-(1-$T73)^$Q73)</f>
        <v/>
      </c>
      <c r="V73" s="23" t="str">
        <f aca="false">IF($M73&lt;&gt;"",$M73,IF($G73="","",MAX(1,(Setup!$B$6/$G73)^Setup!$B$7)))</f>
        <v/>
      </c>
      <c r="W73" s="22" t="str">
        <f aca="false">IF(COUNT($J73:$L73)&lt;3,"",Setup!$B$10*(6-$J73)+Setup!$B$11*$K73+Setup!$B$12*$L73)</f>
        <v/>
      </c>
      <c r="X73" s="23" t="str">
        <f aca="false">IF($W73="","",IF(LEFT(Setup!$B$15,1)="B",EXP(Setup!$B$14*($W73-1)),1+Setup!$B$14*($W73-1)))</f>
        <v/>
      </c>
      <c r="Y73" s="23" t="str">
        <f aca="false">IF($N73&lt;&gt;"",$N73,$X73)</f>
        <v/>
      </c>
      <c r="Z73" s="22" t="str">
        <f aca="false">IF(OR($H73="",$U73="",$V73=""),"",$H73*$U73*$V73)</f>
        <v/>
      </c>
      <c r="AA73" s="22" t="str">
        <f aca="false">IF(OR($Z73="",$Y73=""),"",$Z73*$Y73)</f>
        <v/>
      </c>
      <c r="AB73" s="1" t="str">
        <f aca="false">IF($A73="","",IF(OR($E73="",$G73="",$H73="",$I73="",AND($N73="",COUNT($J73:$L73)&lt;3)),"Missing: "&amp;IF($E73="","P ","")&amp;IF($G73="","T ","")&amp;IF($H73="","I ","")&amp;IF($I73="","C ","")&amp;IF(AND($N73="",COUNT($J73:$L73)&lt;3),"C_ctrl/C_ext/C_irr",""),IF(N($F73)&gt;$E73,"P_floor &gt; P (floor capped at P)","OK")))</f>
        <v/>
      </c>
      <c r="AC73" s="1" t="str">
        <f aca="false">IF($AA73="","",$AA73+ROW()/1000000)</f>
        <v/>
      </c>
      <c r="AD73" s="18" t="n">
        <f aca="false">IF(AND($A73&lt;&gt;"",ISNUMBER($AA73)),1,0)</f>
        <v>0</v>
      </c>
      <c r="AE73" s="18" t="n">
        <f aca="false">IF($AD73=1,$H73,0)</f>
        <v>0</v>
      </c>
      <c r="AF73" s="18" t="n">
        <f aca="false">IF($AD73=1,$E73,0)</f>
        <v>0</v>
      </c>
      <c r="AG73" s="18" t="n">
        <f aca="false">IF($AD73=1,MIN(N($F73),$E73),0)</f>
        <v>0</v>
      </c>
      <c r="AH73" s="18" t="n">
        <f aca="false">IF($AD73=1,$I73,0)</f>
        <v>0</v>
      </c>
      <c r="AI73" s="18" t="n">
        <f aca="false">IF($AD73=1,$G73,1)</f>
        <v>1</v>
      </c>
      <c r="AJ73" s="18" t="n">
        <f aca="false">IF($AD73=1,$V73,1)</f>
        <v>1</v>
      </c>
      <c r="AK73" s="18" t="n">
        <f aca="false">IF($AD73=1,$Y73,1)</f>
        <v>1</v>
      </c>
    </row>
    <row r="74" customFormat="false" ht="15" hidden="false" customHeight="false" outlineLevel="0" collapsed="false">
      <c r="A74" s="10"/>
      <c r="B74" s="10"/>
      <c r="C74" s="12"/>
      <c r="D74" s="17"/>
      <c r="E74" s="13"/>
      <c r="F74" s="21"/>
      <c r="G74" s="12"/>
      <c r="H74" s="12"/>
      <c r="I74" s="12"/>
      <c r="J74" s="12"/>
      <c r="K74" s="12"/>
      <c r="L74" s="12"/>
      <c r="M74" s="15"/>
      <c r="N74" s="15"/>
      <c r="O74" s="12"/>
      <c r="P74" s="17"/>
      <c r="Q74" s="22" t="str">
        <f aca="false">IF(OR($G74="",Setup!$B$5=""),"",Setup!$B$5/$G74)</f>
        <v/>
      </c>
      <c r="R74" s="23" t="str">
        <f aca="false">IF(OR($E74="",$Q74=""),"",1-(1-$E74)^$Q74)</f>
        <v/>
      </c>
      <c r="S74" s="22" t="str">
        <f aca="false">IF(OR($R74="",$H74=""),"",$H74*$R74)</f>
        <v/>
      </c>
      <c r="T74" s="23" t="str">
        <f aca="false">IF(OR($E74="",$I74=""),"",MIN(1,MIN(N($F74),$E74)+($E74-MIN(N($F74),$E74))*(1-$I74)))</f>
        <v/>
      </c>
      <c r="U74" s="23" t="str">
        <f aca="false">IF(OR($T74="",$Q74=""),"",1-(1-$T74)^$Q74)</f>
        <v/>
      </c>
      <c r="V74" s="23" t="str">
        <f aca="false">IF($M74&lt;&gt;"",$M74,IF($G74="","",MAX(1,(Setup!$B$6/$G74)^Setup!$B$7)))</f>
        <v/>
      </c>
      <c r="W74" s="22" t="str">
        <f aca="false">IF(COUNT($J74:$L74)&lt;3,"",Setup!$B$10*(6-$J74)+Setup!$B$11*$K74+Setup!$B$12*$L74)</f>
        <v/>
      </c>
      <c r="X74" s="23" t="str">
        <f aca="false">IF($W74="","",IF(LEFT(Setup!$B$15,1)="B",EXP(Setup!$B$14*($W74-1)),1+Setup!$B$14*($W74-1)))</f>
        <v/>
      </c>
      <c r="Y74" s="23" t="str">
        <f aca="false">IF($N74&lt;&gt;"",$N74,$X74)</f>
        <v/>
      </c>
      <c r="Z74" s="22" t="str">
        <f aca="false">IF(OR($H74="",$U74="",$V74=""),"",$H74*$U74*$V74)</f>
        <v/>
      </c>
      <c r="AA74" s="22" t="str">
        <f aca="false">IF(OR($Z74="",$Y74=""),"",$Z74*$Y74)</f>
        <v/>
      </c>
      <c r="AB74" s="1" t="str">
        <f aca="false">IF($A74="","",IF(OR($E74="",$G74="",$H74="",$I74="",AND($N74="",COUNT($J74:$L74)&lt;3)),"Missing: "&amp;IF($E74="","P ","")&amp;IF($G74="","T ","")&amp;IF($H74="","I ","")&amp;IF($I74="","C ","")&amp;IF(AND($N74="",COUNT($J74:$L74)&lt;3),"C_ctrl/C_ext/C_irr",""),IF(N($F74)&gt;$E74,"P_floor &gt; P (floor capped at P)","OK")))</f>
        <v/>
      </c>
      <c r="AC74" s="1" t="str">
        <f aca="false">IF($AA74="","",$AA74+ROW()/1000000)</f>
        <v/>
      </c>
      <c r="AD74" s="18" t="n">
        <f aca="false">IF(AND($A74&lt;&gt;"",ISNUMBER($AA74)),1,0)</f>
        <v>0</v>
      </c>
      <c r="AE74" s="18" t="n">
        <f aca="false">IF($AD74=1,$H74,0)</f>
        <v>0</v>
      </c>
      <c r="AF74" s="18" t="n">
        <f aca="false">IF($AD74=1,$E74,0)</f>
        <v>0</v>
      </c>
      <c r="AG74" s="18" t="n">
        <f aca="false">IF($AD74=1,MIN(N($F74),$E74),0)</f>
        <v>0</v>
      </c>
      <c r="AH74" s="18" t="n">
        <f aca="false">IF($AD74=1,$I74,0)</f>
        <v>0</v>
      </c>
      <c r="AI74" s="18" t="n">
        <f aca="false">IF($AD74=1,$G74,1)</f>
        <v>1</v>
      </c>
      <c r="AJ74" s="18" t="n">
        <f aca="false">IF($AD74=1,$V74,1)</f>
        <v>1</v>
      </c>
      <c r="AK74" s="18" t="n">
        <f aca="false">IF($AD74=1,$Y74,1)</f>
        <v>1</v>
      </c>
    </row>
    <row r="75" customFormat="false" ht="15" hidden="false" customHeight="false" outlineLevel="0" collapsed="false">
      <c r="A75" s="10"/>
      <c r="B75" s="10"/>
      <c r="C75" s="12"/>
      <c r="D75" s="17"/>
      <c r="E75" s="13"/>
      <c r="F75" s="21"/>
      <c r="G75" s="12"/>
      <c r="H75" s="12"/>
      <c r="I75" s="12"/>
      <c r="J75" s="12"/>
      <c r="K75" s="12"/>
      <c r="L75" s="12"/>
      <c r="M75" s="15"/>
      <c r="N75" s="15"/>
      <c r="O75" s="12"/>
      <c r="P75" s="17"/>
      <c r="Q75" s="22" t="str">
        <f aca="false">IF(OR($G75="",Setup!$B$5=""),"",Setup!$B$5/$G75)</f>
        <v/>
      </c>
      <c r="R75" s="23" t="str">
        <f aca="false">IF(OR($E75="",$Q75=""),"",1-(1-$E75)^$Q75)</f>
        <v/>
      </c>
      <c r="S75" s="22" t="str">
        <f aca="false">IF(OR($R75="",$H75=""),"",$H75*$R75)</f>
        <v/>
      </c>
      <c r="T75" s="23" t="str">
        <f aca="false">IF(OR($E75="",$I75=""),"",MIN(1,MIN(N($F75),$E75)+($E75-MIN(N($F75),$E75))*(1-$I75)))</f>
        <v/>
      </c>
      <c r="U75" s="23" t="str">
        <f aca="false">IF(OR($T75="",$Q75=""),"",1-(1-$T75)^$Q75)</f>
        <v/>
      </c>
      <c r="V75" s="23" t="str">
        <f aca="false">IF($M75&lt;&gt;"",$M75,IF($G75="","",MAX(1,(Setup!$B$6/$G75)^Setup!$B$7)))</f>
        <v/>
      </c>
      <c r="W75" s="22" t="str">
        <f aca="false">IF(COUNT($J75:$L75)&lt;3,"",Setup!$B$10*(6-$J75)+Setup!$B$11*$K75+Setup!$B$12*$L75)</f>
        <v/>
      </c>
      <c r="X75" s="23" t="str">
        <f aca="false">IF($W75="","",IF(LEFT(Setup!$B$15,1)="B",EXP(Setup!$B$14*($W75-1)),1+Setup!$B$14*($W75-1)))</f>
        <v/>
      </c>
      <c r="Y75" s="23" t="str">
        <f aca="false">IF($N75&lt;&gt;"",$N75,$X75)</f>
        <v/>
      </c>
      <c r="Z75" s="22" t="str">
        <f aca="false">IF(OR($H75="",$U75="",$V75=""),"",$H75*$U75*$V75)</f>
        <v/>
      </c>
      <c r="AA75" s="22" t="str">
        <f aca="false">IF(OR($Z75="",$Y75=""),"",$Z75*$Y75)</f>
        <v/>
      </c>
      <c r="AB75" s="1" t="str">
        <f aca="false">IF($A75="","",IF(OR($E75="",$G75="",$H75="",$I75="",AND($N75="",COUNT($J75:$L75)&lt;3)),"Missing: "&amp;IF($E75="","P ","")&amp;IF($G75="","T ","")&amp;IF($H75="","I ","")&amp;IF($I75="","C ","")&amp;IF(AND($N75="",COUNT($J75:$L75)&lt;3),"C_ctrl/C_ext/C_irr",""),IF(N($F75)&gt;$E75,"P_floor &gt; P (floor capped at P)","OK")))</f>
        <v/>
      </c>
      <c r="AC75" s="1" t="str">
        <f aca="false">IF($AA75="","",$AA75+ROW()/1000000)</f>
        <v/>
      </c>
      <c r="AD75" s="18" t="n">
        <f aca="false">IF(AND($A75&lt;&gt;"",ISNUMBER($AA75)),1,0)</f>
        <v>0</v>
      </c>
      <c r="AE75" s="18" t="n">
        <f aca="false">IF($AD75=1,$H75,0)</f>
        <v>0</v>
      </c>
      <c r="AF75" s="18" t="n">
        <f aca="false">IF($AD75=1,$E75,0)</f>
        <v>0</v>
      </c>
      <c r="AG75" s="18" t="n">
        <f aca="false">IF($AD75=1,MIN(N($F75),$E75),0)</f>
        <v>0</v>
      </c>
      <c r="AH75" s="18" t="n">
        <f aca="false">IF($AD75=1,$I75,0)</f>
        <v>0</v>
      </c>
      <c r="AI75" s="18" t="n">
        <f aca="false">IF($AD75=1,$G75,1)</f>
        <v>1</v>
      </c>
      <c r="AJ75" s="18" t="n">
        <f aca="false">IF($AD75=1,$V75,1)</f>
        <v>1</v>
      </c>
      <c r="AK75" s="18" t="n">
        <f aca="false">IF($AD75=1,$Y75,1)</f>
        <v>1</v>
      </c>
    </row>
    <row r="76" customFormat="false" ht="15" hidden="false" customHeight="false" outlineLevel="0" collapsed="false">
      <c r="A76" s="10"/>
      <c r="B76" s="10"/>
      <c r="C76" s="12"/>
      <c r="D76" s="17"/>
      <c r="E76" s="13"/>
      <c r="F76" s="21"/>
      <c r="G76" s="12"/>
      <c r="H76" s="12"/>
      <c r="I76" s="12"/>
      <c r="J76" s="12"/>
      <c r="K76" s="12"/>
      <c r="L76" s="12"/>
      <c r="M76" s="15"/>
      <c r="N76" s="15"/>
      <c r="O76" s="12"/>
      <c r="P76" s="17"/>
      <c r="Q76" s="22" t="str">
        <f aca="false">IF(OR($G76="",Setup!$B$5=""),"",Setup!$B$5/$G76)</f>
        <v/>
      </c>
      <c r="R76" s="23" t="str">
        <f aca="false">IF(OR($E76="",$Q76=""),"",1-(1-$E76)^$Q76)</f>
        <v/>
      </c>
      <c r="S76" s="22" t="str">
        <f aca="false">IF(OR($R76="",$H76=""),"",$H76*$R76)</f>
        <v/>
      </c>
      <c r="T76" s="23" t="str">
        <f aca="false">IF(OR($E76="",$I76=""),"",MIN(1,MIN(N($F76),$E76)+($E76-MIN(N($F76),$E76))*(1-$I76)))</f>
        <v/>
      </c>
      <c r="U76" s="23" t="str">
        <f aca="false">IF(OR($T76="",$Q76=""),"",1-(1-$T76)^$Q76)</f>
        <v/>
      </c>
      <c r="V76" s="23" t="str">
        <f aca="false">IF($M76&lt;&gt;"",$M76,IF($G76="","",MAX(1,(Setup!$B$6/$G76)^Setup!$B$7)))</f>
        <v/>
      </c>
      <c r="W76" s="22" t="str">
        <f aca="false">IF(COUNT($J76:$L76)&lt;3,"",Setup!$B$10*(6-$J76)+Setup!$B$11*$K76+Setup!$B$12*$L76)</f>
        <v/>
      </c>
      <c r="X76" s="23" t="str">
        <f aca="false">IF($W76="","",IF(LEFT(Setup!$B$15,1)="B",EXP(Setup!$B$14*($W76-1)),1+Setup!$B$14*($W76-1)))</f>
        <v/>
      </c>
      <c r="Y76" s="23" t="str">
        <f aca="false">IF($N76&lt;&gt;"",$N76,$X76)</f>
        <v/>
      </c>
      <c r="Z76" s="22" t="str">
        <f aca="false">IF(OR($H76="",$U76="",$V76=""),"",$H76*$U76*$V76)</f>
        <v/>
      </c>
      <c r="AA76" s="22" t="str">
        <f aca="false">IF(OR($Z76="",$Y76=""),"",$Z76*$Y76)</f>
        <v/>
      </c>
      <c r="AB76" s="1" t="str">
        <f aca="false">IF($A76="","",IF(OR($E76="",$G76="",$H76="",$I76="",AND($N76="",COUNT($J76:$L76)&lt;3)),"Missing: "&amp;IF($E76="","P ","")&amp;IF($G76="","T ","")&amp;IF($H76="","I ","")&amp;IF($I76="","C ","")&amp;IF(AND($N76="",COUNT($J76:$L76)&lt;3),"C_ctrl/C_ext/C_irr",""),IF(N($F76)&gt;$E76,"P_floor &gt; P (floor capped at P)","OK")))</f>
        <v/>
      </c>
      <c r="AC76" s="1" t="str">
        <f aca="false">IF($AA76="","",$AA76+ROW()/1000000)</f>
        <v/>
      </c>
      <c r="AD76" s="18" t="n">
        <f aca="false">IF(AND($A76&lt;&gt;"",ISNUMBER($AA76)),1,0)</f>
        <v>0</v>
      </c>
      <c r="AE76" s="18" t="n">
        <f aca="false">IF($AD76=1,$H76,0)</f>
        <v>0</v>
      </c>
      <c r="AF76" s="18" t="n">
        <f aca="false">IF($AD76=1,$E76,0)</f>
        <v>0</v>
      </c>
      <c r="AG76" s="18" t="n">
        <f aca="false">IF($AD76=1,MIN(N($F76),$E76),0)</f>
        <v>0</v>
      </c>
      <c r="AH76" s="18" t="n">
        <f aca="false">IF($AD76=1,$I76,0)</f>
        <v>0</v>
      </c>
      <c r="AI76" s="18" t="n">
        <f aca="false">IF($AD76=1,$G76,1)</f>
        <v>1</v>
      </c>
      <c r="AJ76" s="18" t="n">
        <f aca="false">IF($AD76=1,$V76,1)</f>
        <v>1</v>
      </c>
      <c r="AK76" s="18" t="n">
        <f aca="false">IF($AD76=1,$Y76,1)</f>
        <v>1</v>
      </c>
    </row>
    <row r="77" customFormat="false" ht="15" hidden="false" customHeight="false" outlineLevel="0" collapsed="false">
      <c r="A77" s="10"/>
      <c r="B77" s="10"/>
      <c r="C77" s="12"/>
      <c r="D77" s="17"/>
      <c r="E77" s="13"/>
      <c r="F77" s="21"/>
      <c r="G77" s="12"/>
      <c r="H77" s="12"/>
      <c r="I77" s="12"/>
      <c r="J77" s="12"/>
      <c r="K77" s="12"/>
      <c r="L77" s="12"/>
      <c r="M77" s="15"/>
      <c r="N77" s="15"/>
      <c r="O77" s="12"/>
      <c r="P77" s="17"/>
      <c r="Q77" s="22" t="str">
        <f aca="false">IF(OR($G77="",Setup!$B$5=""),"",Setup!$B$5/$G77)</f>
        <v/>
      </c>
      <c r="R77" s="23" t="str">
        <f aca="false">IF(OR($E77="",$Q77=""),"",1-(1-$E77)^$Q77)</f>
        <v/>
      </c>
      <c r="S77" s="22" t="str">
        <f aca="false">IF(OR($R77="",$H77=""),"",$H77*$R77)</f>
        <v/>
      </c>
      <c r="T77" s="23" t="str">
        <f aca="false">IF(OR($E77="",$I77=""),"",MIN(1,MIN(N($F77),$E77)+($E77-MIN(N($F77),$E77))*(1-$I77)))</f>
        <v/>
      </c>
      <c r="U77" s="23" t="str">
        <f aca="false">IF(OR($T77="",$Q77=""),"",1-(1-$T77)^$Q77)</f>
        <v/>
      </c>
      <c r="V77" s="23" t="str">
        <f aca="false">IF($M77&lt;&gt;"",$M77,IF($G77="","",MAX(1,(Setup!$B$6/$G77)^Setup!$B$7)))</f>
        <v/>
      </c>
      <c r="W77" s="22" t="str">
        <f aca="false">IF(COUNT($J77:$L77)&lt;3,"",Setup!$B$10*(6-$J77)+Setup!$B$11*$K77+Setup!$B$12*$L77)</f>
        <v/>
      </c>
      <c r="X77" s="23" t="str">
        <f aca="false">IF($W77="","",IF(LEFT(Setup!$B$15,1)="B",EXP(Setup!$B$14*($W77-1)),1+Setup!$B$14*($W77-1)))</f>
        <v/>
      </c>
      <c r="Y77" s="23" t="str">
        <f aca="false">IF($N77&lt;&gt;"",$N77,$X77)</f>
        <v/>
      </c>
      <c r="Z77" s="22" t="str">
        <f aca="false">IF(OR($H77="",$U77="",$V77=""),"",$H77*$U77*$V77)</f>
        <v/>
      </c>
      <c r="AA77" s="22" t="str">
        <f aca="false">IF(OR($Z77="",$Y77=""),"",$Z77*$Y77)</f>
        <v/>
      </c>
      <c r="AB77" s="1" t="str">
        <f aca="false">IF($A77="","",IF(OR($E77="",$G77="",$H77="",$I77="",AND($N77="",COUNT($J77:$L77)&lt;3)),"Missing: "&amp;IF($E77="","P ","")&amp;IF($G77="","T ","")&amp;IF($H77="","I ","")&amp;IF($I77="","C ","")&amp;IF(AND($N77="",COUNT($J77:$L77)&lt;3),"C_ctrl/C_ext/C_irr",""),IF(N($F77)&gt;$E77,"P_floor &gt; P (floor capped at P)","OK")))</f>
        <v/>
      </c>
      <c r="AC77" s="1" t="str">
        <f aca="false">IF($AA77="","",$AA77+ROW()/1000000)</f>
        <v/>
      </c>
      <c r="AD77" s="18" t="n">
        <f aca="false">IF(AND($A77&lt;&gt;"",ISNUMBER($AA77)),1,0)</f>
        <v>0</v>
      </c>
      <c r="AE77" s="18" t="n">
        <f aca="false">IF($AD77=1,$H77,0)</f>
        <v>0</v>
      </c>
      <c r="AF77" s="18" t="n">
        <f aca="false">IF($AD77=1,$E77,0)</f>
        <v>0</v>
      </c>
      <c r="AG77" s="18" t="n">
        <f aca="false">IF($AD77=1,MIN(N($F77),$E77),0)</f>
        <v>0</v>
      </c>
      <c r="AH77" s="18" t="n">
        <f aca="false">IF($AD77=1,$I77,0)</f>
        <v>0</v>
      </c>
      <c r="AI77" s="18" t="n">
        <f aca="false">IF($AD77=1,$G77,1)</f>
        <v>1</v>
      </c>
      <c r="AJ77" s="18" t="n">
        <f aca="false">IF($AD77=1,$V77,1)</f>
        <v>1</v>
      </c>
      <c r="AK77" s="18" t="n">
        <f aca="false">IF($AD77=1,$Y77,1)</f>
        <v>1</v>
      </c>
    </row>
    <row r="78" customFormat="false" ht="15" hidden="false" customHeight="false" outlineLevel="0" collapsed="false">
      <c r="A78" s="10"/>
      <c r="B78" s="10"/>
      <c r="C78" s="12"/>
      <c r="D78" s="17"/>
      <c r="E78" s="13"/>
      <c r="F78" s="21"/>
      <c r="G78" s="12"/>
      <c r="H78" s="12"/>
      <c r="I78" s="12"/>
      <c r="J78" s="12"/>
      <c r="K78" s="12"/>
      <c r="L78" s="12"/>
      <c r="M78" s="15"/>
      <c r="N78" s="15"/>
      <c r="O78" s="12"/>
      <c r="P78" s="17"/>
      <c r="Q78" s="22" t="str">
        <f aca="false">IF(OR($G78="",Setup!$B$5=""),"",Setup!$B$5/$G78)</f>
        <v/>
      </c>
      <c r="R78" s="23" t="str">
        <f aca="false">IF(OR($E78="",$Q78=""),"",1-(1-$E78)^$Q78)</f>
        <v/>
      </c>
      <c r="S78" s="22" t="str">
        <f aca="false">IF(OR($R78="",$H78=""),"",$H78*$R78)</f>
        <v/>
      </c>
      <c r="T78" s="23" t="str">
        <f aca="false">IF(OR($E78="",$I78=""),"",MIN(1,MIN(N($F78),$E78)+($E78-MIN(N($F78),$E78))*(1-$I78)))</f>
        <v/>
      </c>
      <c r="U78" s="23" t="str">
        <f aca="false">IF(OR($T78="",$Q78=""),"",1-(1-$T78)^$Q78)</f>
        <v/>
      </c>
      <c r="V78" s="23" t="str">
        <f aca="false">IF($M78&lt;&gt;"",$M78,IF($G78="","",MAX(1,(Setup!$B$6/$G78)^Setup!$B$7)))</f>
        <v/>
      </c>
      <c r="W78" s="22" t="str">
        <f aca="false">IF(COUNT($J78:$L78)&lt;3,"",Setup!$B$10*(6-$J78)+Setup!$B$11*$K78+Setup!$B$12*$L78)</f>
        <v/>
      </c>
      <c r="X78" s="23" t="str">
        <f aca="false">IF($W78="","",IF(LEFT(Setup!$B$15,1)="B",EXP(Setup!$B$14*($W78-1)),1+Setup!$B$14*($W78-1)))</f>
        <v/>
      </c>
      <c r="Y78" s="23" t="str">
        <f aca="false">IF($N78&lt;&gt;"",$N78,$X78)</f>
        <v/>
      </c>
      <c r="Z78" s="22" t="str">
        <f aca="false">IF(OR($H78="",$U78="",$V78=""),"",$H78*$U78*$V78)</f>
        <v/>
      </c>
      <c r="AA78" s="22" t="str">
        <f aca="false">IF(OR($Z78="",$Y78=""),"",$Z78*$Y78)</f>
        <v/>
      </c>
      <c r="AB78" s="1" t="str">
        <f aca="false">IF($A78="","",IF(OR($E78="",$G78="",$H78="",$I78="",AND($N78="",COUNT($J78:$L78)&lt;3)),"Missing: "&amp;IF($E78="","P ","")&amp;IF($G78="","T ","")&amp;IF($H78="","I ","")&amp;IF($I78="","C ","")&amp;IF(AND($N78="",COUNT($J78:$L78)&lt;3),"C_ctrl/C_ext/C_irr",""),IF(N($F78)&gt;$E78,"P_floor &gt; P (floor capped at P)","OK")))</f>
        <v/>
      </c>
      <c r="AC78" s="1" t="str">
        <f aca="false">IF($AA78="","",$AA78+ROW()/1000000)</f>
        <v/>
      </c>
      <c r="AD78" s="18" t="n">
        <f aca="false">IF(AND($A78&lt;&gt;"",ISNUMBER($AA78)),1,0)</f>
        <v>0</v>
      </c>
      <c r="AE78" s="18" t="n">
        <f aca="false">IF($AD78=1,$H78,0)</f>
        <v>0</v>
      </c>
      <c r="AF78" s="18" t="n">
        <f aca="false">IF($AD78=1,$E78,0)</f>
        <v>0</v>
      </c>
      <c r="AG78" s="18" t="n">
        <f aca="false">IF($AD78=1,MIN(N($F78),$E78),0)</f>
        <v>0</v>
      </c>
      <c r="AH78" s="18" t="n">
        <f aca="false">IF($AD78=1,$I78,0)</f>
        <v>0</v>
      </c>
      <c r="AI78" s="18" t="n">
        <f aca="false">IF($AD78=1,$G78,1)</f>
        <v>1</v>
      </c>
      <c r="AJ78" s="18" t="n">
        <f aca="false">IF($AD78=1,$V78,1)</f>
        <v>1</v>
      </c>
      <c r="AK78" s="18" t="n">
        <f aca="false">IF($AD78=1,$Y78,1)</f>
        <v>1</v>
      </c>
    </row>
    <row r="79" customFormat="false" ht="15" hidden="false" customHeight="false" outlineLevel="0" collapsed="false">
      <c r="A79" s="10"/>
      <c r="B79" s="10"/>
      <c r="C79" s="12"/>
      <c r="D79" s="17"/>
      <c r="E79" s="13"/>
      <c r="F79" s="21"/>
      <c r="G79" s="12"/>
      <c r="H79" s="12"/>
      <c r="I79" s="12"/>
      <c r="J79" s="12"/>
      <c r="K79" s="12"/>
      <c r="L79" s="12"/>
      <c r="M79" s="15"/>
      <c r="N79" s="15"/>
      <c r="O79" s="12"/>
      <c r="P79" s="17"/>
      <c r="Q79" s="22" t="str">
        <f aca="false">IF(OR($G79="",Setup!$B$5=""),"",Setup!$B$5/$G79)</f>
        <v/>
      </c>
      <c r="R79" s="23" t="str">
        <f aca="false">IF(OR($E79="",$Q79=""),"",1-(1-$E79)^$Q79)</f>
        <v/>
      </c>
      <c r="S79" s="22" t="str">
        <f aca="false">IF(OR($R79="",$H79=""),"",$H79*$R79)</f>
        <v/>
      </c>
      <c r="T79" s="23" t="str">
        <f aca="false">IF(OR($E79="",$I79=""),"",MIN(1,MIN(N($F79),$E79)+($E79-MIN(N($F79),$E79))*(1-$I79)))</f>
        <v/>
      </c>
      <c r="U79" s="23" t="str">
        <f aca="false">IF(OR($T79="",$Q79=""),"",1-(1-$T79)^$Q79)</f>
        <v/>
      </c>
      <c r="V79" s="23" t="str">
        <f aca="false">IF($M79&lt;&gt;"",$M79,IF($G79="","",MAX(1,(Setup!$B$6/$G79)^Setup!$B$7)))</f>
        <v/>
      </c>
      <c r="W79" s="22" t="str">
        <f aca="false">IF(COUNT($J79:$L79)&lt;3,"",Setup!$B$10*(6-$J79)+Setup!$B$11*$K79+Setup!$B$12*$L79)</f>
        <v/>
      </c>
      <c r="X79" s="23" t="str">
        <f aca="false">IF($W79="","",IF(LEFT(Setup!$B$15,1)="B",EXP(Setup!$B$14*($W79-1)),1+Setup!$B$14*($W79-1)))</f>
        <v/>
      </c>
      <c r="Y79" s="23" t="str">
        <f aca="false">IF($N79&lt;&gt;"",$N79,$X79)</f>
        <v/>
      </c>
      <c r="Z79" s="22" t="str">
        <f aca="false">IF(OR($H79="",$U79="",$V79=""),"",$H79*$U79*$V79)</f>
        <v/>
      </c>
      <c r="AA79" s="22" t="str">
        <f aca="false">IF(OR($Z79="",$Y79=""),"",$Z79*$Y79)</f>
        <v/>
      </c>
      <c r="AB79" s="1" t="str">
        <f aca="false">IF($A79="","",IF(OR($E79="",$G79="",$H79="",$I79="",AND($N79="",COUNT($J79:$L79)&lt;3)),"Missing: "&amp;IF($E79="","P ","")&amp;IF($G79="","T ","")&amp;IF($H79="","I ","")&amp;IF($I79="","C ","")&amp;IF(AND($N79="",COUNT($J79:$L79)&lt;3),"C_ctrl/C_ext/C_irr",""),IF(N($F79)&gt;$E79,"P_floor &gt; P (floor capped at P)","OK")))</f>
        <v/>
      </c>
      <c r="AC79" s="1" t="str">
        <f aca="false">IF($AA79="","",$AA79+ROW()/1000000)</f>
        <v/>
      </c>
      <c r="AD79" s="18" t="n">
        <f aca="false">IF(AND($A79&lt;&gt;"",ISNUMBER($AA79)),1,0)</f>
        <v>0</v>
      </c>
      <c r="AE79" s="18" t="n">
        <f aca="false">IF($AD79=1,$H79,0)</f>
        <v>0</v>
      </c>
      <c r="AF79" s="18" t="n">
        <f aca="false">IF($AD79=1,$E79,0)</f>
        <v>0</v>
      </c>
      <c r="AG79" s="18" t="n">
        <f aca="false">IF($AD79=1,MIN(N($F79),$E79),0)</f>
        <v>0</v>
      </c>
      <c r="AH79" s="18" t="n">
        <f aca="false">IF($AD79=1,$I79,0)</f>
        <v>0</v>
      </c>
      <c r="AI79" s="18" t="n">
        <f aca="false">IF($AD79=1,$G79,1)</f>
        <v>1</v>
      </c>
      <c r="AJ79" s="18" t="n">
        <f aca="false">IF($AD79=1,$V79,1)</f>
        <v>1</v>
      </c>
      <c r="AK79" s="18" t="n">
        <f aca="false">IF($AD79=1,$Y79,1)</f>
        <v>1</v>
      </c>
    </row>
    <row r="80" customFormat="false" ht="15" hidden="false" customHeight="false" outlineLevel="0" collapsed="false">
      <c r="A80" s="10"/>
      <c r="B80" s="10"/>
      <c r="C80" s="12"/>
      <c r="D80" s="17"/>
      <c r="E80" s="13"/>
      <c r="F80" s="21"/>
      <c r="G80" s="12"/>
      <c r="H80" s="12"/>
      <c r="I80" s="12"/>
      <c r="J80" s="12"/>
      <c r="K80" s="12"/>
      <c r="L80" s="12"/>
      <c r="M80" s="15"/>
      <c r="N80" s="15"/>
      <c r="O80" s="12"/>
      <c r="P80" s="17"/>
      <c r="Q80" s="22" t="str">
        <f aca="false">IF(OR($G80="",Setup!$B$5=""),"",Setup!$B$5/$G80)</f>
        <v/>
      </c>
      <c r="R80" s="23" t="str">
        <f aca="false">IF(OR($E80="",$Q80=""),"",1-(1-$E80)^$Q80)</f>
        <v/>
      </c>
      <c r="S80" s="22" t="str">
        <f aca="false">IF(OR($R80="",$H80=""),"",$H80*$R80)</f>
        <v/>
      </c>
      <c r="T80" s="23" t="str">
        <f aca="false">IF(OR($E80="",$I80=""),"",MIN(1,MIN(N($F80),$E80)+($E80-MIN(N($F80),$E80))*(1-$I80)))</f>
        <v/>
      </c>
      <c r="U80" s="23" t="str">
        <f aca="false">IF(OR($T80="",$Q80=""),"",1-(1-$T80)^$Q80)</f>
        <v/>
      </c>
      <c r="V80" s="23" t="str">
        <f aca="false">IF($M80&lt;&gt;"",$M80,IF($G80="","",MAX(1,(Setup!$B$6/$G80)^Setup!$B$7)))</f>
        <v/>
      </c>
      <c r="W80" s="22" t="str">
        <f aca="false">IF(COUNT($J80:$L80)&lt;3,"",Setup!$B$10*(6-$J80)+Setup!$B$11*$K80+Setup!$B$12*$L80)</f>
        <v/>
      </c>
      <c r="X80" s="23" t="str">
        <f aca="false">IF($W80="","",IF(LEFT(Setup!$B$15,1)="B",EXP(Setup!$B$14*($W80-1)),1+Setup!$B$14*($W80-1)))</f>
        <v/>
      </c>
      <c r="Y80" s="23" t="str">
        <f aca="false">IF($N80&lt;&gt;"",$N80,$X80)</f>
        <v/>
      </c>
      <c r="Z80" s="22" t="str">
        <f aca="false">IF(OR($H80="",$U80="",$V80=""),"",$H80*$U80*$V80)</f>
        <v/>
      </c>
      <c r="AA80" s="22" t="str">
        <f aca="false">IF(OR($Z80="",$Y80=""),"",$Z80*$Y80)</f>
        <v/>
      </c>
      <c r="AB80" s="1" t="str">
        <f aca="false">IF($A80="","",IF(OR($E80="",$G80="",$H80="",$I80="",AND($N80="",COUNT($J80:$L80)&lt;3)),"Missing: "&amp;IF($E80="","P ","")&amp;IF($G80="","T ","")&amp;IF($H80="","I ","")&amp;IF($I80="","C ","")&amp;IF(AND($N80="",COUNT($J80:$L80)&lt;3),"C_ctrl/C_ext/C_irr",""),IF(N($F80)&gt;$E80,"P_floor &gt; P (floor capped at P)","OK")))</f>
        <v/>
      </c>
      <c r="AC80" s="1" t="str">
        <f aca="false">IF($AA80="","",$AA80+ROW()/1000000)</f>
        <v/>
      </c>
      <c r="AD80" s="18" t="n">
        <f aca="false">IF(AND($A80&lt;&gt;"",ISNUMBER($AA80)),1,0)</f>
        <v>0</v>
      </c>
      <c r="AE80" s="18" t="n">
        <f aca="false">IF($AD80=1,$H80,0)</f>
        <v>0</v>
      </c>
      <c r="AF80" s="18" t="n">
        <f aca="false">IF($AD80=1,$E80,0)</f>
        <v>0</v>
      </c>
      <c r="AG80" s="18" t="n">
        <f aca="false">IF($AD80=1,MIN(N($F80),$E80),0)</f>
        <v>0</v>
      </c>
      <c r="AH80" s="18" t="n">
        <f aca="false">IF($AD80=1,$I80,0)</f>
        <v>0</v>
      </c>
      <c r="AI80" s="18" t="n">
        <f aca="false">IF($AD80=1,$G80,1)</f>
        <v>1</v>
      </c>
      <c r="AJ80" s="18" t="n">
        <f aca="false">IF($AD80=1,$V80,1)</f>
        <v>1</v>
      </c>
      <c r="AK80" s="18" t="n">
        <f aca="false">IF($AD80=1,$Y80,1)</f>
        <v>1</v>
      </c>
    </row>
    <row r="81" customFormat="false" ht="15" hidden="false" customHeight="false" outlineLevel="0" collapsed="false">
      <c r="A81" s="10"/>
      <c r="B81" s="10"/>
      <c r="C81" s="12"/>
      <c r="D81" s="17"/>
      <c r="E81" s="13"/>
      <c r="F81" s="21"/>
      <c r="G81" s="12"/>
      <c r="H81" s="12"/>
      <c r="I81" s="12"/>
      <c r="J81" s="12"/>
      <c r="K81" s="12"/>
      <c r="L81" s="12"/>
      <c r="M81" s="15"/>
      <c r="N81" s="15"/>
      <c r="O81" s="12"/>
      <c r="P81" s="17"/>
      <c r="Q81" s="22" t="str">
        <f aca="false">IF(OR($G81="",Setup!$B$5=""),"",Setup!$B$5/$G81)</f>
        <v/>
      </c>
      <c r="R81" s="23" t="str">
        <f aca="false">IF(OR($E81="",$Q81=""),"",1-(1-$E81)^$Q81)</f>
        <v/>
      </c>
      <c r="S81" s="22" t="str">
        <f aca="false">IF(OR($R81="",$H81=""),"",$H81*$R81)</f>
        <v/>
      </c>
      <c r="T81" s="23" t="str">
        <f aca="false">IF(OR($E81="",$I81=""),"",MIN(1,MIN(N($F81),$E81)+($E81-MIN(N($F81),$E81))*(1-$I81)))</f>
        <v/>
      </c>
      <c r="U81" s="23" t="str">
        <f aca="false">IF(OR($T81="",$Q81=""),"",1-(1-$T81)^$Q81)</f>
        <v/>
      </c>
      <c r="V81" s="23" t="str">
        <f aca="false">IF($M81&lt;&gt;"",$M81,IF($G81="","",MAX(1,(Setup!$B$6/$G81)^Setup!$B$7)))</f>
        <v/>
      </c>
      <c r="W81" s="22" t="str">
        <f aca="false">IF(COUNT($J81:$L81)&lt;3,"",Setup!$B$10*(6-$J81)+Setup!$B$11*$K81+Setup!$B$12*$L81)</f>
        <v/>
      </c>
      <c r="X81" s="23" t="str">
        <f aca="false">IF($W81="","",IF(LEFT(Setup!$B$15,1)="B",EXP(Setup!$B$14*($W81-1)),1+Setup!$B$14*($W81-1)))</f>
        <v/>
      </c>
      <c r="Y81" s="23" t="str">
        <f aca="false">IF($N81&lt;&gt;"",$N81,$X81)</f>
        <v/>
      </c>
      <c r="Z81" s="22" t="str">
        <f aca="false">IF(OR($H81="",$U81="",$V81=""),"",$H81*$U81*$V81)</f>
        <v/>
      </c>
      <c r="AA81" s="22" t="str">
        <f aca="false">IF(OR($Z81="",$Y81=""),"",$Z81*$Y81)</f>
        <v/>
      </c>
      <c r="AB81" s="1" t="str">
        <f aca="false">IF($A81="","",IF(OR($E81="",$G81="",$H81="",$I81="",AND($N81="",COUNT($J81:$L81)&lt;3)),"Missing: "&amp;IF($E81="","P ","")&amp;IF($G81="","T ","")&amp;IF($H81="","I ","")&amp;IF($I81="","C ","")&amp;IF(AND($N81="",COUNT($J81:$L81)&lt;3),"C_ctrl/C_ext/C_irr",""),IF(N($F81)&gt;$E81,"P_floor &gt; P (floor capped at P)","OK")))</f>
        <v/>
      </c>
      <c r="AC81" s="1" t="str">
        <f aca="false">IF($AA81="","",$AA81+ROW()/1000000)</f>
        <v/>
      </c>
      <c r="AD81" s="18" t="n">
        <f aca="false">IF(AND($A81&lt;&gt;"",ISNUMBER($AA81)),1,0)</f>
        <v>0</v>
      </c>
      <c r="AE81" s="18" t="n">
        <f aca="false">IF($AD81=1,$H81,0)</f>
        <v>0</v>
      </c>
      <c r="AF81" s="18" t="n">
        <f aca="false">IF($AD81=1,$E81,0)</f>
        <v>0</v>
      </c>
      <c r="AG81" s="18" t="n">
        <f aca="false">IF($AD81=1,MIN(N($F81),$E81),0)</f>
        <v>0</v>
      </c>
      <c r="AH81" s="18" t="n">
        <f aca="false">IF($AD81=1,$I81,0)</f>
        <v>0</v>
      </c>
      <c r="AI81" s="18" t="n">
        <f aca="false">IF($AD81=1,$G81,1)</f>
        <v>1</v>
      </c>
      <c r="AJ81" s="18" t="n">
        <f aca="false">IF($AD81=1,$V81,1)</f>
        <v>1</v>
      </c>
      <c r="AK81" s="18" t="n">
        <f aca="false">IF($AD81=1,$Y81,1)</f>
        <v>1</v>
      </c>
    </row>
    <row r="82" customFormat="false" ht="15" hidden="false" customHeight="false" outlineLevel="0" collapsed="false">
      <c r="A82" s="10"/>
      <c r="B82" s="10"/>
      <c r="C82" s="12"/>
      <c r="D82" s="17"/>
      <c r="E82" s="13"/>
      <c r="F82" s="21"/>
      <c r="G82" s="12"/>
      <c r="H82" s="12"/>
      <c r="I82" s="12"/>
      <c r="J82" s="12"/>
      <c r="K82" s="12"/>
      <c r="L82" s="12"/>
      <c r="M82" s="15"/>
      <c r="N82" s="15"/>
      <c r="O82" s="12"/>
      <c r="P82" s="17"/>
      <c r="Q82" s="22" t="str">
        <f aca="false">IF(OR($G82="",Setup!$B$5=""),"",Setup!$B$5/$G82)</f>
        <v/>
      </c>
      <c r="R82" s="23" t="str">
        <f aca="false">IF(OR($E82="",$Q82=""),"",1-(1-$E82)^$Q82)</f>
        <v/>
      </c>
      <c r="S82" s="22" t="str">
        <f aca="false">IF(OR($R82="",$H82=""),"",$H82*$R82)</f>
        <v/>
      </c>
      <c r="T82" s="23" t="str">
        <f aca="false">IF(OR($E82="",$I82=""),"",MIN(1,MIN(N($F82),$E82)+($E82-MIN(N($F82),$E82))*(1-$I82)))</f>
        <v/>
      </c>
      <c r="U82" s="23" t="str">
        <f aca="false">IF(OR($T82="",$Q82=""),"",1-(1-$T82)^$Q82)</f>
        <v/>
      </c>
      <c r="V82" s="23" t="str">
        <f aca="false">IF($M82&lt;&gt;"",$M82,IF($G82="","",MAX(1,(Setup!$B$6/$G82)^Setup!$B$7)))</f>
        <v/>
      </c>
      <c r="W82" s="22" t="str">
        <f aca="false">IF(COUNT($J82:$L82)&lt;3,"",Setup!$B$10*(6-$J82)+Setup!$B$11*$K82+Setup!$B$12*$L82)</f>
        <v/>
      </c>
      <c r="X82" s="23" t="str">
        <f aca="false">IF($W82="","",IF(LEFT(Setup!$B$15,1)="B",EXP(Setup!$B$14*($W82-1)),1+Setup!$B$14*($W82-1)))</f>
        <v/>
      </c>
      <c r="Y82" s="23" t="str">
        <f aca="false">IF($N82&lt;&gt;"",$N82,$X82)</f>
        <v/>
      </c>
      <c r="Z82" s="22" t="str">
        <f aca="false">IF(OR($H82="",$U82="",$V82=""),"",$H82*$U82*$V82)</f>
        <v/>
      </c>
      <c r="AA82" s="22" t="str">
        <f aca="false">IF(OR($Z82="",$Y82=""),"",$Z82*$Y82)</f>
        <v/>
      </c>
      <c r="AB82" s="1" t="str">
        <f aca="false">IF($A82="","",IF(OR($E82="",$G82="",$H82="",$I82="",AND($N82="",COUNT($J82:$L82)&lt;3)),"Missing: "&amp;IF($E82="","P ","")&amp;IF($G82="","T ","")&amp;IF($H82="","I ","")&amp;IF($I82="","C ","")&amp;IF(AND($N82="",COUNT($J82:$L82)&lt;3),"C_ctrl/C_ext/C_irr",""),IF(N($F82)&gt;$E82,"P_floor &gt; P (floor capped at P)","OK")))</f>
        <v/>
      </c>
      <c r="AC82" s="1" t="str">
        <f aca="false">IF($AA82="","",$AA82+ROW()/1000000)</f>
        <v/>
      </c>
      <c r="AD82" s="18" t="n">
        <f aca="false">IF(AND($A82&lt;&gt;"",ISNUMBER($AA82)),1,0)</f>
        <v>0</v>
      </c>
      <c r="AE82" s="18" t="n">
        <f aca="false">IF($AD82=1,$H82,0)</f>
        <v>0</v>
      </c>
      <c r="AF82" s="18" t="n">
        <f aca="false">IF($AD82=1,$E82,0)</f>
        <v>0</v>
      </c>
      <c r="AG82" s="18" t="n">
        <f aca="false">IF($AD82=1,MIN(N($F82),$E82),0)</f>
        <v>0</v>
      </c>
      <c r="AH82" s="18" t="n">
        <f aca="false">IF($AD82=1,$I82,0)</f>
        <v>0</v>
      </c>
      <c r="AI82" s="18" t="n">
        <f aca="false">IF($AD82=1,$G82,1)</f>
        <v>1</v>
      </c>
      <c r="AJ82" s="18" t="n">
        <f aca="false">IF($AD82=1,$V82,1)</f>
        <v>1</v>
      </c>
      <c r="AK82" s="18" t="n">
        <f aca="false">IF($AD82=1,$Y82,1)</f>
        <v>1</v>
      </c>
    </row>
    <row r="83" customFormat="false" ht="15" hidden="false" customHeight="false" outlineLevel="0" collapsed="false">
      <c r="A83" s="10"/>
      <c r="B83" s="10"/>
      <c r="C83" s="12"/>
      <c r="D83" s="17"/>
      <c r="E83" s="13"/>
      <c r="F83" s="21"/>
      <c r="G83" s="12"/>
      <c r="H83" s="12"/>
      <c r="I83" s="12"/>
      <c r="J83" s="12"/>
      <c r="K83" s="12"/>
      <c r="L83" s="12"/>
      <c r="M83" s="15"/>
      <c r="N83" s="15"/>
      <c r="O83" s="12"/>
      <c r="P83" s="17"/>
      <c r="Q83" s="22" t="str">
        <f aca="false">IF(OR($G83="",Setup!$B$5=""),"",Setup!$B$5/$G83)</f>
        <v/>
      </c>
      <c r="R83" s="23" t="str">
        <f aca="false">IF(OR($E83="",$Q83=""),"",1-(1-$E83)^$Q83)</f>
        <v/>
      </c>
      <c r="S83" s="22" t="str">
        <f aca="false">IF(OR($R83="",$H83=""),"",$H83*$R83)</f>
        <v/>
      </c>
      <c r="T83" s="23" t="str">
        <f aca="false">IF(OR($E83="",$I83=""),"",MIN(1,MIN(N($F83),$E83)+($E83-MIN(N($F83),$E83))*(1-$I83)))</f>
        <v/>
      </c>
      <c r="U83" s="23" t="str">
        <f aca="false">IF(OR($T83="",$Q83=""),"",1-(1-$T83)^$Q83)</f>
        <v/>
      </c>
      <c r="V83" s="23" t="str">
        <f aca="false">IF($M83&lt;&gt;"",$M83,IF($G83="","",MAX(1,(Setup!$B$6/$G83)^Setup!$B$7)))</f>
        <v/>
      </c>
      <c r="W83" s="22" t="str">
        <f aca="false">IF(COUNT($J83:$L83)&lt;3,"",Setup!$B$10*(6-$J83)+Setup!$B$11*$K83+Setup!$B$12*$L83)</f>
        <v/>
      </c>
      <c r="X83" s="23" t="str">
        <f aca="false">IF($W83="","",IF(LEFT(Setup!$B$15,1)="B",EXP(Setup!$B$14*($W83-1)),1+Setup!$B$14*($W83-1)))</f>
        <v/>
      </c>
      <c r="Y83" s="23" t="str">
        <f aca="false">IF($N83&lt;&gt;"",$N83,$X83)</f>
        <v/>
      </c>
      <c r="Z83" s="22" t="str">
        <f aca="false">IF(OR($H83="",$U83="",$V83=""),"",$H83*$U83*$V83)</f>
        <v/>
      </c>
      <c r="AA83" s="22" t="str">
        <f aca="false">IF(OR($Z83="",$Y83=""),"",$Z83*$Y83)</f>
        <v/>
      </c>
      <c r="AB83" s="1" t="str">
        <f aca="false">IF($A83="","",IF(OR($E83="",$G83="",$H83="",$I83="",AND($N83="",COUNT($J83:$L83)&lt;3)),"Missing: "&amp;IF($E83="","P ","")&amp;IF($G83="","T ","")&amp;IF($H83="","I ","")&amp;IF($I83="","C ","")&amp;IF(AND($N83="",COUNT($J83:$L83)&lt;3),"C_ctrl/C_ext/C_irr",""),IF(N($F83)&gt;$E83,"P_floor &gt; P (floor capped at P)","OK")))</f>
        <v/>
      </c>
      <c r="AC83" s="1" t="str">
        <f aca="false">IF($AA83="","",$AA83+ROW()/1000000)</f>
        <v/>
      </c>
      <c r="AD83" s="18" t="n">
        <f aca="false">IF(AND($A83&lt;&gt;"",ISNUMBER($AA83)),1,0)</f>
        <v>0</v>
      </c>
      <c r="AE83" s="18" t="n">
        <f aca="false">IF($AD83=1,$H83,0)</f>
        <v>0</v>
      </c>
      <c r="AF83" s="18" t="n">
        <f aca="false">IF($AD83=1,$E83,0)</f>
        <v>0</v>
      </c>
      <c r="AG83" s="18" t="n">
        <f aca="false">IF($AD83=1,MIN(N($F83),$E83),0)</f>
        <v>0</v>
      </c>
      <c r="AH83" s="18" t="n">
        <f aca="false">IF($AD83=1,$I83,0)</f>
        <v>0</v>
      </c>
      <c r="AI83" s="18" t="n">
        <f aca="false">IF($AD83=1,$G83,1)</f>
        <v>1</v>
      </c>
      <c r="AJ83" s="18" t="n">
        <f aca="false">IF($AD83=1,$V83,1)</f>
        <v>1</v>
      </c>
      <c r="AK83" s="18" t="n">
        <f aca="false">IF($AD83=1,$Y83,1)</f>
        <v>1</v>
      </c>
    </row>
    <row r="84" customFormat="false" ht="15" hidden="false" customHeight="false" outlineLevel="0" collapsed="false">
      <c r="A84" s="10"/>
      <c r="B84" s="10"/>
      <c r="C84" s="12"/>
      <c r="D84" s="17"/>
      <c r="E84" s="13"/>
      <c r="F84" s="21"/>
      <c r="G84" s="12"/>
      <c r="H84" s="12"/>
      <c r="I84" s="12"/>
      <c r="J84" s="12"/>
      <c r="K84" s="12"/>
      <c r="L84" s="12"/>
      <c r="M84" s="15"/>
      <c r="N84" s="15"/>
      <c r="O84" s="12"/>
      <c r="P84" s="17"/>
      <c r="Q84" s="22" t="str">
        <f aca="false">IF(OR($G84="",Setup!$B$5=""),"",Setup!$B$5/$G84)</f>
        <v/>
      </c>
      <c r="R84" s="23" t="str">
        <f aca="false">IF(OR($E84="",$Q84=""),"",1-(1-$E84)^$Q84)</f>
        <v/>
      </c>
      <c r="S84" s="22" t="str">
        <f aca="false">IF(OR($R84="",$H84=""),"",$H84*$R84)</f>
        <v/>
      </c>
      <c r="T84" s="23" t="str">
        <f aca="false">IF(OR($E84="",$I84=""),"",MIN(1,MIN(N($F84),$E84)+($E84-MIN(N($F84),$E84))*(1-$I84)))</f>
        <v/>
      </c>
      <c r="U84" s="23" t="str">
        <f aca="false">IF(OR($T84="",$Q84=""),"",1-(1-$T84)^$Q84)</f>
        <v/>
      </c>
      <c r="V84" s="23" t="str">
        <f aca="false">IF($M84&lt;&gt;"",$M84,IF($G84="","",MAX(1,(Setup!$B$6/$G84)^Setup!$B$7)))</f>
        <v/>
      </c>
      <c r="W84" s="22" t="str">
        <f aca="false">IF(COUNT($J84:$L84)&lt;3,"",Setup!$B$10*(6-$J84)+Setup!$B$11*$K84+Setup!$B$12*$L84)</f>
        <v/>
      </c>
      <c r="X84" s="23" t="str">
        <f aca="false">IF($W84="","",IF(LEFT(Setup!$B$15,1)="B",EXP(Setup!$B$14*($W84-1)),1+Setup!$B$14*($W84-1)))</f>
        <v/>
      </c>
      <c r="Y84" s="23" t="str">
        <f aca="false">IF($N84&lt;&gt;"",$N84,$X84)</f>
        <v/>
      </c>
      <c r="Z84" s="22" t="str">
        <f aca="false">IF(OR($H84="",$U84="",$V84=""),"",$H84*$U84*$V84)</f>
        <v/>
      </c>
      <c r="AA84" s="22" t="str">
        <f aca="false">IF(OR($Z84="",$Y84=""),"",$Z84*$Y84)</f>
        <v/>
      </c>
      <c r="AB84" s="1" t="str">
        <f aca="false">IF($A84="","",IF(OR($E84="",$G84="",$H84="",$I84="",AND($N84="",COUNT($J84:$L84)&lt;3)),"Missing: "&amp;IF($E84="","P ","")&amp;IF($G84="","T ","")&amp;IF($H84="","I ","")&amp;IF($I84="","C ","")&amp;IF(AND($N84="",COUNT($J84:$L84)&lt;3),"C_ctrl/C_ext/C_irr",""),IF(N($F84)&gt;$E84,"P_floor &gt; P (floor capped at P)","OK")))</f>
        <v/>
      </c>
      <c r="AC84" s="1" t="str">
        <f aca="false">IF($AA84="","",$AA84+ROW()/1000000)</f>
        <v/>
      </c>
      <c r="AD84" s="18" t="n">
        <f aca="false">IF(AND($A84&lt;&gt;"",ISNUMBER($AA84)),1,0)</f>
        <v>0</v>
      </c>
      <c r="AE84" s="18" t="n">
        <f aca="false">IF($AD84=1,$H84,0)</f>
        <v>0</v>
      </c>
      <c r="AF84" s="18" t="n">
        <f aca="false">IF($AD84=1,$E84,0)</f>
        <v>0</v>
      </c>
      <c r="AG84" s="18" t="n">
        <f aca="false">IF($AD84=1,MIN(N($F84),$E84),0)</f>
        <v>0</v>
      </c>
      <c r="AH84" s="18" t="n">
        <f aca="false">IF($AD84=1,$I84,0)</f>
        <v>0</v>
      </c>
      <c r="AI84" s="18" t="n">
        <f aca="false">IF($AD84=1,$G84,1)</f>
        <v>1</v>
      </c>
      <c r="AJ84" s="18" t="n">
        <f aca="false">IF($AD84=1,$V84,1)</f>
        <v>1</v>
      </c>
      <c r="AK84" s="18" t="n">
        <f aca="false">IF($AD84=1,$Y84,1)</f>
        <v>1</v>
      </c>
    </row>
    <row r="85" customFormat="false" ht="15" hidden="false" customHeight="false" outlineLevel="0" collapsed="false">
      <c r="A85" s="10"/>
      <c r="B85" s="10"/>
      <c r="C85" s="12"/>
      <c r="D85" s="17"/>
      <c r="E85" s="13"/>
      <c r="F85" s="21"/>
      <c r="G85" s="12"/>
      <c r="H85" s="12"/>
      <c r="I85" s="12"/>
      <c r="J85" s="12"/>
      <c r="K85" s="12"/>
      <c r="L85" s="12"/>
      <c r="M85" s="15"/>
      <c r="N85" s="15"/>
      <c r="O85" s="12"/>
      <c r="P85" s="17"/>
      <c r="Q85" s="22" t="str">
        <f aca="false">IF(OR($G85="",Setup!$B$5=""),"",Setup!$B$5/$G85)</f>
        <v/>
      </c>
      <c r="R85" s="23" t="str">
        <f aca="false">IF(OR($E85="",$Q85=""),"",1-(1-$E85)^$Q85)</f>
        <v/>
      </c>
      <c r="S85" s="22" t="str">
        <f aca="false">IF(OR($R85="",$H85=""),"",$H85*$R85)</f>
        <v/>
      </c>
      <c r="T85" s="23" t="str">
        <f aca="false">IF(OR($E85="",$I85=""),"",MIN(1,MIN(N($F85),$E85)+($E85-MIN(N($F85),$E85))*(1-$I85)))</f>
        <v/>
      </c>
      <c r="U85" s="23" t="str">
        <f aca="false">IF(OR($T85="",$Q85=""),"",1-(1-$T85)^$Q85)</f>
        <v/>
      </c>
      <c r="V85" s="23" t="str">
        <f aca="false">IF($M85&lt;&gt;"",$M85,IF($G85="","",MAX(1,(Setup!$B$6/$G85)^Setup!$B$7)))</f>
        <v/>
      </c>
      <c r="W85" s="22" t="str">
        <f aca="false">IF(COUNT($J85:$L85)&lt;3,"",Setup!$B$10*(6-$J85)+Setup!$B$11*$K85+Setup!$B$12*$L85)</f>
        <v/>
      </c>
      <c r="X85" s="23" t="str">
        <f aca="false">IF($W85="","",IF(LEFT(Setup!$B$15,1)="B",EXP(Setup!$B$14*($W85-1)),1+Setup!$B$14*($W85-1)))</f>
        <v/>
      </c>
      <c r="Y85" s="23" t="str">
        <f aca="false">IF($N85&lt;&gt;"",$N85,$X85)</f>
        <v/>
      </c>
      <c r="Z85" s="22" t="str">
        <f aca="false">IF(OR($H85="",$U85="",$V85=""),"",$H85*$U85*$V85)</f>
        <v/>
      </c>
      <c r="AA85" s="22" t="str">
        <f aca="false">IF(OR($Z85="",$Y85=""),"",$Z85*$Y85)</f>
        <v/>
      </c>
      <c r="AB85" s="1" t="str">
        <f aca="false">IF($A85="","",IF(OR($E85="",$G85="",$H85="",$I85="",AND($N85="",COUNT($J85:$L85)&lt;3)),"Missing: "&amp;IF($E85="","P ","")&amp;IF($G85="","T ","")&amp;IF($H85="","I ","")&amp;IF($I85="","C ","")&amp;IF(AND($N85="",COUNT($J85:$L85)&lt;3),"C_ctrl/C_ext/C_irr",""),IF(N($F85)&gt;$E85,"P_floor &gt; P (floor capped at P)","OK")))</f>
        <v/>
      </c>
      <c r="AC85" s="1" t="str">
        <f aca="false">IF($AA85="","",$AA85+ROW()/1000000)</f>
        <v/>
      </c>
      <c r="AD85" s="18" t="n">
        <f aca="false">IF(AND($A85&lt;&gt;"",ISNUMBER($AA85)),1,0)</f>
        <v>0</v>
      </c>
      <c r="AE85" s="18" t="n">
        <f aca="false">IF($AD85=1,$H85,0)</f>
        <v>0</v>
      </c>
      <c r="AF85" s="18" t="n">
        <f aca="false">IF($AD85=1,$E85,0)</f>
        <v>0</v>
      </c>
      <c r="AG85" s="18" t="n">
        <f aca="false">IF($AD85=1,MIN(N($F85),$E85),0)</f>
        <v>0</v>
      </c>
      <c r="AH85" s="18" t="n">
        <f aca="false">IF($AD85=1,$I85,0)</f>
        <v>0</v>
      </c>
      <c r="AI85" s="18" t="n">
        <f aca="false">IF($AD85=1,$G85,1)</f>
        <v>1</v>
      </c>
      <c r="AJ85" s="18" t="n">
        <f aca="false">IF($AD85=1,$V85,1)</f>
        <v>1</v>
      </c>
      <c r="AK85" s="18" t="n">
        <f aca="false">IF($AD85=1,$Y85,1)</f>
        <v>1</v>
      </c>
    </row>
    <row r="86" customFormat="false" ht="15" hidden="false" customHeight="false" outlineLevel="0" collapsed="false">
      <c r="A86" s="10"/>
      <c r="B86" s="10"/>
      <c r="C86" s="12"/>
      <c r="D86" s="17"/>
      <c r="E86" s="13"/>
      <c r="F86" s="21"/>
      <c r="G86" s="12"/>
      <c r="H86" s="12"/>
      <c r="I86" s="12"/>
      <c r="J86" s="12"/>
      <c r="K86" s="12"/>
      <c r="L86" s="12"/>
      <c r="M86" s="15"/>
      <c r="N86" s="15"/>
      <c r="O86" s="12"/>
      <c r="P86" s="17"/>
      <c r="Q86" s="22" t="str">
        <f aca="false">IF(OR($G86="",Setup!$B$5=""),"",Setup!$B$5/$G86)</f>
        <v/>
      </c>
      <c r="R86" s="23" t="str">
        <f aca="false">IF(OR($E86="",$Q86=""),"",1-(1-$E86)^$Q86)</f>
        <v/>
      </c>
      <c r="S86" s="22" t="str">
        <f aca="false">IF(OR($R86="",$H86=""),"",$H86*$R86)</f>
        <v/>
      </c>
      <c r="T86" s="23" t="str">
        <f aca="false">IF(OR($E86="",$I86=""),"",MIN(1,MIN(N($F86),$E86)+($E86-MIN(N($F86),$E86))*(1-$I86)))</f>
        <v/>
      </c>
      <c r="U86" s="23" t="str">
        <f aca="false">IF(OR($T86="",$Q86=""),"",1-(1-$T86)^$Q86)</f>
        <v/>
      </c>
      <c r="V86" s="23" t="str">
        <f aca="false">IF($M86&lt;&gt;"",$M86,IF($G86="","",MAX(1,(Setup!$B$6/$G86)^Setup!$B$7)))</f>
        <v/>
      </c>
      <c r="W86" s="22" t="str">
        <f aca="false">IF(COUNT($J86:$L86)&lt;3,"",Setup!$B$10*(6-$J86)+Setup!$B$11*$K86+Setup!$B$12*$L86)</f>
        <v/>
      </c>
      <c r="X86" s="23" t="str">
        <f aca="false">IF($W86="","",IF(LEFT(Setup!$B$15,1)="B",EXP(Setup!$B$14*($W86-1)),1+Setup!$B$14*($W86-1)))</f>
        <v/>
      </c>
      <c r="Y86" s="23" t="str">
        <f aca="false">IF($N86&lt;&gt;"",$N86,$X86)</f>
        <v/>
      </c>
      <c r="Z86" s="22" t="str">
        <f aca="false">IF(OR($H86="",$U86="",$V86=""),"",$H86*$U86*$V86)</f>
        <v/>
      </c>
      <c r="AA86" s="22" t="str">
        <f aca="false">IF(OR($Z86="",$Y86=""),"",$Z86*$Y86)</f>
        <v/>
      </c>
      <c r="AB86" s="1" t="str">
        <f aca="false">IF($A86="","",IF(OR($E86="",$G86="",$H86="",$I86="",AND($N86="",COUNT($J86:$L86)&lt;3)),"Missing: "&amp;IF($E86="","P ","")&amp;IF($G86="","T ","")&amp;IF($H86="","I ","")&amp;IF($I86="","C ","")&amp;IF(AND($N86="",COUNT($J86:$L86)&lt;3),"C_ctrl/C_ext/C_irr",""),IF(N($F86)&gt;$E86,"P_floor &gt; P (floor capped at P)","OK")))</f>
        <v/>
      </c>
      <c r="AC86" s="1" t="str">
        <f aca="false">IF($AA86="","",$AA86+ROW()/1000000)</f>
        <v/>
      </c>
      <c r="AD86" s="18" t="n">
        <f aca="false">IF(AND($A86&lt;&gt;"",ISNUMBER($AA86)),1,0)</f>
        <v>0</v>
      </c>
      <c r="AE86" s="18" t="n">
        <f aca="false">IF($AD86=1,$H86,0)</f>
        <v>0</v>
      </c>
      <c r="AF86" s="18" t="n">
        <f aca="false">IF($AD86=1,$E86,0)</f>
        <v>0</v>
      </c>
      <c r="AG86" s="18" t="n">
        <f aca="false">IF($AD86=1,MIN(N($F86),$E86),0)</f>
        <v>0</v>
      </c>
      <c r="AH86" s="18" t="n">
        <f aca="false">IF($AD86=1,$I86,0)</f>
        <v>0</v>
      </c>
      <c r="AI86" s="18" t="n">
        <f aca="false">IF($AD86=1,$G86,1)</f>
        <v>1</v>
      </c>
      <c r="AJ86" s="18" t="n">
        <f aca="false">IF($AD86=1,$V86,1)</f>
        <v>1</v>
      </c>
      <c r="AK86" s="18" t="n">
        <f aca="false">IF($AD86=1,$Y86,1)</f>
        <v>1</v>
      </c>
    </row>
    <row r="87" customFormat="false" ht="15" hidden="false" customHeight="false" outlineLevel="0" collapsed="false">
      <c r="A87" s="10"/>
      <c r="B87" s="10"/>
      <c r="C87" s="12"/>
      <c r="D87" s="17"/>
      <c r="E87" s="13"/>
      <c r="F87" s="21"/>
      <c r="G87" s="12"/>
      <c r="H87" s="12"/>
      <c r="I87" s="12"/>
      <c r="J87" s="12"/>
      <c r="K87" s="12"/>
      <c r="L87" s="12"/>
      <c r="M87" s="15"/>
      <c r="N87" s="15"/>
      <c r="O87" s="12"/>
      <c r="P87" s="17"/>
      <c r="Q87" s="22" t="str">
        <f aca="false">IF(OR($G87="",Setup!$B$5=""),"",Setup!$B$5/$G87)</f>
        <v/>
      </c>
      <c r="R87" s="23" t="str">
        <f aca="false">IF(OR($E87="",$Q87=""),"",1-(1-$E87)^$Q87)</f>
        <v/>
      </c>
      <c r="S87" s="22" t="str">
        <f aca="false">IF(OR($R87="",$H87=""),"",$H87*$R87)</f>
        <v/>
      </c>
      <c r="T87" s="23" t="str">
        <f aca="false">IF(OR($E87="",$I87=""),"",MIN(1,MIN(N($F87),$E87)+($E87-MIN(N($F87),$E87))*(1-$I87)))</f>
        <v/>
      </c>
      <c r="U87" s="23" t="str">
        <f aca="false">IF(OR($T87="",$Q87=""),"",1-(1-$T87)^$Q87)</f>
        <v/>
      </c>
      <c r="V87" s="23" t="str">
        <f aca="false">IF($M87&lt;&gt;"",$M87,IF($G87="","",MAX(1,(Setup!$B$6/$G87)^Setup!$B$7)))</f>
        <v/>
      </c>
      <c r="W87" s="22" t="str">
        <f aca="false">IF(COUNT($J87:$L87)&lt;3,"",Setup!$B$10*(6-$J87)+Setup!$B$11*$K87+Setup!$B$12*$L87)</f>
        <v/>
      </c>
      <c r="X87" s="23" t="str">
        <f aca="false">IF($W87="","",IF(LEFT(Setup!$B$15,1)="B",EXP(Setup!$B$14*($W87-1)),1+Setup!$B$14*($W87-1)))</f>
        <v/>
      </c>
      <c r="Y87" s="23" t="str">
        <f aca="false">IF($N87&lt;&gt;"",$N87,$X87)</f>
        <v/>
      </c>
      <c r="Z87" s="22" t="str">
        <f aca="false">IF(OR($H87="",$U87="",$V87=""),"",$H87*$U87*$V87)</f>
        <v/>
      </c>
      <c r="AA87" s="22" t="str">
        <f aca="false">IF(OR($Z87="",$Y87=""),"",$Z87*$Y87)</f>
        <v/>
      </c>
      <c r="AB87" s="1" t="str">
        <f aca="false">IF($A87="","",IF(OR($E87="",$G87="",$H87="",$I87="",AND($N87="",COUNT($J87:$L87)&lt;3)),"Missing: "&amp;IF($E87="","P ","")&amp;IF($G87="","T ","")&amp;IF($H87="","I ","")&amp;IF($I87="","C ","")&amp;IF(AND($N87="",COUNT($J87:$L87)&lt;3),"C_ctrl/C_ext/C_irr",""),IF(N($F87)&gt;$E87,"P_floor &gt; P (floor capped at P)","OK")))</f>
        <v/>
      </c>
      <c r="AC87" s="1" t="str">
        <f aca="false">IF($AA87="","",$AA87+ROW()/1000000)</f>
        <v/>
      </c>
      <c r="AD87" s="18" t="n">
        <f aca="false">IF(AND($A87&lt;&gt;"",ISNUMBER($AA87)),1,0)</f>
        <v>0</v>
      </c>
      <c r="AE87" s="18" t="n">
        <f aca="false">IF($AD87=1,$H87,0)</f>
        <v>0</v>
      </c>
      <c r="AF87" s="18" t="n">
        <f aca="false">IF($AD87=1,$E87,0)</f>
        <v>0</v>
      </c>
      <c r="AG87" s="18" t="n">
        <f aca="false">IF($AD87=1,MIN(N($F87),$E87),0)</f>
        <v>0</v>
      </c>
      <c r="AH87" s="18" t="n">
        <f aca="false">IF($AD87=1,$I87,0)</f>
        <v>0</v>
      </c>
      <c r="AI87" s="18" t="n">
        <f aca="false">IF($AD87=1,$G87,1)</f>
        <v>1</v>
      </c>
      <c r="AJ87" s="18" t="n">
        <f aca="false">IF($AD87=1,$V87,1)</f>
        <v>1</v>
      </c>
      <c r="AK87" s="18" t="n">
        <f aca="false">IF($AD87=1,$Y87,1)</f>
        <v>1</v>
      </c>
    </row>
    <row r="88" customFormat="false" ht="15" hidden="false" customHeight="false" outlineLevel="0" collapsed="false">
      <c r="A88" s="10"/>
      <c r="B88" s="10"/>
      <c r="C88" s="12"/>
      <c r="D88" s="17"/>
      <c r="E88" s="13"/>
      <c r="F88" s="21"/>
      <c r="G88" s="12"/>
      <c r="H88" s="12"/>
      <c r="I88" s="12"/>
      <c r="J88" s="12"/>
      <c r="K88" s="12"/>
      <c r="L88" s="12"/>
      <c r="M88" s="15"/>
      <c r="N88" s="15"/>
      <c r="O88" s="12"/>
      <c r="P88" s="17"/>
      <c r="Q88" s="22" t="str">
        <f aca="false">IF(OR($G88="",Setup!$B$5=""),"",Setup!$B$5/$G88)</f>
        <v/>
      </c>
      <c r="R88" s="23" t="str">
        <f aca="false">IF(OR($E88="",$Q88=""),"",1-(1-$E88)^$Q88)</f>
        <v/>
      </c>
      <c r="S88" s="22" t="str">
        <f aca="false">IF(OR($R88="",$H88=""),"",$H88*$R88)</f>
        <v/>
      </c>
      <c r="T88" s="23" t="str">
        <f aca="false">IF(OR($E88="",$I88=""),"",MIN(1,MIN(N($F88),$E88)+($E88-MIN(N($F88),$E88))*(1-$I88)))</f>
        <v/>
      </c>
      <c r="U88" s="23" t="str">
        <f aca="false">IF(OR($T88="",$Q88=""),"",1-(1-$T88)^$Q88)</f>
        <v/>
      </c>
      <c r="V88" s="23" t="str">
        <f aca="false">IF($M88&lt;&gt;"",$M88,IF($G88="","",MAX(1,(Setup!$B$6/$G88)^Setup!$B$7)))</f>
        <v/>
      </c>
      <c r="W88" s="22" t="str">
        <f aca="false">IF(COUNT($J88:$L88)&lt;3,"",Setup!$B$10*(6-$J88)+Setup!$B$11*$K88+Setup!$B$12*$L88)</f>
        <v/>
      </c>
      <c r="X88" s="23" t="str">
        <f aca="false">IF($W88="","",IF(LEFT(Setup!$B$15,1)="B",EXP(Setup!$B$14*($W88-1)),1+Setup!$B$14*($W88-1)))</f>
        <v/>
      </c>
      <c r="Y88" s="23" t="str">
        <f aca="false">IF($N88&lt;&gt;"",$N88,$X88)</f>
        <v/>
      </c>
      <c r="Z88" s="22" t="str">
        <f aca="false">IF(OR($H88="",$U88="",$V88=""),"",$H88*$U88*$V88)</f>
        <v/>
      </c>
      <c r="AA88" s="22" t="str">
        <f aca="false">IF(OR($Z88="",$Y88=""),"",$Z88*$Y88)</f>
        <v/>
      </c>
      <c r="AB88" s="1" t="str">
        <f aca="false">IF($A88="","",IF(OR($E88="",$G88="",$H88="",$I88="",AND($N88="",COUNT($J88:$L88)&lt;3)),"Missing: "&amp;IF($E88="","P ","")&amp;IF($G88="","T ","")&amp;IF($H88="","I ","")&amp;IF($I88="","C ","")&amp;IF(AND($N88="",COUNT($J88:$L88)&lt;3),"C_ctrl/C_ext/C_irr",""),IF(N($F88)&gt;$E88,"P_floor &gt; P (floor capped at P)","OK")))</f>
        <v/>
      </c>
      <c r="AC88" s="1" t="str">
        <f aca="false">IF($AA88="","",$AA88+ROW()/1000000)</f>
        <v/>
      </c>
      <c r="AD88" s="18" t="n">
        <f aca="false">IF(AND($A88&lt;&gt;"",ISNUMBER($AA88)),1,0)</f>
        <v>0</v>
      </c>
      <c r="AE88" s="18" t="n">
        <f aca="false">IF($AD88=1,$H88,0)</f>
        <v>0</v>
      </c>
      <c r="AF88" s="18" t="n">
        <f aca="false">IF($AD88=1,$E88,0)</f>
        <v>0</v>
      </c>
      <c r="AG88" s="18" t="n">
        <f aca="false">IF($AD88=1,MIN(N($F88),$E88),0)</f>
        <v>0</v>
      </c>
      <c r="AH88" s="18" t="n">
        <f aca="false">IF($AD88=1,$I88,0)</f>
        <v>0</v>
      </c>
      <c r="AI88" s="18" t="n">
        <f aca="false">IF($AD88=1,$G88,1)</f>
        <v>1</v>
      </c>
      <c r="AJ88" s="18" t="n">
        <f aca="false">IF($AD88=1,$V88,1)</f>
        <v>1</v>
      </c>
      <c r="AK88" s="18" t="n">
        <f aca="false">IF($AD88=1,$Y88,1)</f>
        <v>1</v>
      </c>
    </row>
    <row r="89" customFormat="false" ht="15" hidden="false" customHeight="false" outlineLevel="0" collapsed="false">
      <c r="A89" s="10"/>
      <c r="B89" s="10"/>
      <c r="C89" s="12"/>
      <c r="D89" s="17"/>
      <c r="E89" s="13"/>
      <c r="F89" s="21"/>
      <c r="G89" s="12"/>
      <c r="H89" s="12"/>
      <c r="I89" s="12"/>
      <c r="J89" s="12"/>
      <c r="K89" s="12"/>
      <c r="L89" s="12"/>
      <c r="M89" s="15"/>
      <c r="N89" s="15"/>
      <c r="O89" s="12"/>
      <c r="P89" s="17"/>
      <c r="Q89" s="22" t="str">
        <f aca="false">IF(OR($G89="",Setup!$B$5=""),"",Setup!$B$5/$G89)</f>
        <v/>
      </c>
      <c r="R89" s="23" t="str">
        <f aca="false">IF(OR($E89="",$Q89=""),"",1-(1-$E89)^$Q89)</f>
        <v/>
      </c>
      <c r="S89" s="22" t="str">
        <f aca="false">IF(OR($R89="",$H89=""),"",$H89*$R89)</f>
        <v/>
      </c>
      <c r="T89" s="23" t="str">
        <f aca="false">IF(OR($E89="",$I89=""),"",MIN(1,MIN(N($F89),$E89)+($E89-MIN(N($F89),$E89))*(1-$I89)))</f>
        <v/>
      </c>
      <c r="U89" s="23" t="str">
        <f aca="false">IF(OR($T89="",$Q89=""),"",1-(1-$T89)^$Q89)</f>
        <v/>
      </c>
      <c r="V89" s="23" t="str">
        <f aca="false">IF($M89&lt;&gt;"",$M89,IF($G89="","",MAX(1,(Setup!$B$6/$G89)^Setup!$B$7)))</f>
        <v/>
      </c>
      <c r="W89" s="22" t="str">
        <f aca="false">IF(COUNT($J89:$L89)&lt;3,"",Setup!$B$10*(6-$J89)+Setup!$B$11*$K89+Setup!$B$12*$L89)</f>
        <v/>
      </c>
      <c r="X89" s="23" t="str">
        <f aca="false">IF($W89="","",IF(LEFT(Setup!$B$15,1)="B",EXP(Setup!$B$14*($W89-1)),1+Setup!$B$14*($W89-1)))</f>
        <v/>
      </c>
      <c r="Y89" s="23" t="str">
        <f aca="false">IF($N89&lt;&gt;"",$N89,$X89)</f>
        <v/>
      </c>
      <c r="Z89" s="22" t="str">
        <f aca="false">IF(OR($H89="",$U89="",$V89=""),"",$H89*$U89*$V89)</f>
        <v/>
      </c>
      <c r="AA89" s="22" t="str">
        <f aca="false">IF(OR($Z89="",$Y89=""),"",$Z89*$Y89)</f>
        <v/>
      </c>
      <c r="AB89" s="1" t="str">
        <f aca="false">IF($A89="","",IF(OR($E89="",$G89="",$H89="",$I89="",AND($N89="",COUNT($J89:$L89)&lt;3)),"Missing: "&amp;IF($E89="","P ","")&amp;IF($G89="","T ","")&amp;IF($H89="","I ","")&amp;IF($I89="","C ","")&amp;IF(AND($N89="",COUNT($J89:$L89)&lt;3),"C_ctrl/C_ext/C_irr",""),IF(N($F89)&gt;$E89,"P_floor &gt; P (floor capped at P)","OK")))</f>
        <v/>
      </c>
      <c r="AC89" s="1" t="str">
        <f aca="false">IF($AA89="","",$AA89+ROW()/1000000)</f>
        <v/>
      </c>
      <c r="AD89" s="18" t="n">
        <f aca="false">IF(AND($A89&lt;&gt;"",ISNUMBER($AA89)),1,0)</f>
        <v>0</v>
      </c>
      <c r="AE89" s="18" t="n">
        <f aca="false">IF($AD89=1,$H89,0)</f>
        <v>0</v>
      </c>
      <c r="AF89" s="18" t="n">
        <f aca="false">IF($AD89=1,$E89,0)</f>
        <v>0</v>
      </c>
      <c r="AG89" s="18" t="n">
        <f aca="false">IF($AD89=1,MIN(N($F89),$E89),0)</f>
        <v>0</v>
      </c>
      <c r="AH89" s="18" t="n">
        <f aca="false">IF($AD89=1,$I89,0)</f>
        <v>0</v>
      </c>
      <c r="AI89" s="18" t="n">
        <f aca="false">IF($AD89=1,$G89,1)</f>
        <v>1</v>
      </c>
      <c r="AJ89" s="18" t="n">
        <f aca="false">IF($AD89=1,$V89,1)</f>
        <v>1</v>
      </c>
      <c r="AK89" s="18" t="n">
        <f aca="false">IF($AD89=1,$Y89,1)</f>
        <v>1</v>
      </c>
    </row>
    <row r="90" customFormat="false" ht="15" hidden="false" customHeight="false" outlineLevel="0" collapsed="false">
      <c r="A90" s="10"/>
      <c r="B90" s="10"/>
      <c r="C90" s="12"/>
      <c r="D90" s="17"/>
      <c r="E90" s="13"/>
      <c r="F90" s="21"/>
      <c r="G90" s="12"/>
      <c r="H90" s="12"/>
      <c r="I90" s="12"/>
      <c r="J90" s="12"/>
      <c r="K90" s="12"/>
      <c r="L90" s="12"/>
      <c r="M90" s="15"/>
      <c r="N90" s="15"/>
      <c r="O90" s="12"/>
      <c r="P90" s="17"/>
      <c r="Q90" s="22" t="str">
        <f aca="false">IF(OR($G90="",Setup!$B$5=""),"",Setup!$B$5/$G90)</f>
        <v/>
      </c>
      <c r="R90" s="23" t="str">
        <f aca="false">IF(OR($E90="",$Q90=""),"",1-(1-$E90)^$Q90)</f>
        <v/>
      </c>
      <c r="S90" s="22" t="str">
        <f aca="false">IF(OR($R90="",$H90=""),"",$H90*$R90)</f>
        <v/>
      </c>
      <c r="T90" s="23" t="str">
        <f aca="false">IF(OR($E90="",$I90=""),"",MIN(1,MIN(N($F90),$E90)+($E90-MIN(N($F90),$E90))*(1-$I90)))</f>
        <v/>
      </c>
      <c r="U90" s="23" t="str">
        <f aca="false">IF(OR($T90="",$Q90=""),"",1-(1-$T90)^$Q90)</f>
        <v/>
      </c>
      <c r="V90" s="23" t="str">
        <f aca="false">IF($M90&lt;&gt;"",$M90,IF($G90="","",MAX(1,(Setup!$B$6/$G90)^Setup!$B$7)))</f>
        <v/>
      </c>
      <c r="W90" s="22" t="str">
        <f aca="false">IF(COUNT($J90:$L90)&lt;3,"",Setup!$B$10*(6-$J90)+Setup!$B$11*$K90+Setup!$B$12*$L90)</f>
        <v/>
      </c>
      <c r="X90" s="23" t="str">
        <f aca="false">IF($W90="","",IF(LEFT(Setup!$B$15,1)="B",EXP(Setup!$B$14*($W90-1)),1+Setup!$B$14*($W90-1)))</f>
        <v/>
      </c>
      <c r="Y90" s="23" t="str">
        <f aca="false">IF($N90&lt;&gt;"",$N90,$X90)</f>
        <v/>
      </c>
      <c r="Z90" s="22" t="str">
        <f aca="false">IF(OR($H90="",$U90="",$V90=""),"",$H90*$U90*$V90)</f>
        <v/>
      </c>
      <c r="AA90" s="22" t="str">
        <f aca="false">IF(OR($Z90="",$Y90=""),"",$Z90*$Y90)</f>
        <v/>
      </c>
      <c r="AB90" s="1" t="str">
        <f aca="false">IF($A90="","",IF(OR($E90="",$G90="",$H90="",$I90="",AND($N90="",COUNT($J90:$L90)&lt;3)),"Missing: "&amp;IF($E90="","P ","")&amp;IF($G90="","T ","")&amp;IF($H90="","I ","")&amp;IF($I90="","C ","")&amp;IF(AND($N90="",COUNT($J90:$L90)&lt;3),"C_ctrl/C_ext/C_irr",""),IF(N($F90)&gt;$E90,"P_floor &gt; P (floor capped at P)","OK")))</f>
        <v/>
      </c>
      <c r="AC90" s="1" t="str">
        <f aca="false">IF($AA90="","",$AA90+ROW()/1000000)</f>
        <v/>
      </c>
      <c r="AD90" s="18" t="n">
        <f aca="false">IF(AND($A90&lt;&gt;"",ISNUMBER($AA90)),1,0)</f>
        <v>0</v>
      </c>
      <c r="AE90" s="18" t="n">
        <f aca="false">IF($AD90=1,$H90,0)</f>
        <v>0</v>
      </c>
      <c r="AF90" s="18" t="n">
        <f aca="false">IF($AD90=1,$E90,0)</f>
        <v>0</v>
      </c>
      <c r="AG90" s="18" t="n">
        <f aca="false">IF($AD90=1,MIN(N($F90),$E90),0)</f>
        <v>0</v>
      </c>
      <c r="AH90" s="18" t="n">
        <f aca="false">IF($AD90=1,$I90,0)</f>
        <v>0</v>
      </c>
      <c r="AI90" s="18" t="n">
        <f aca="false">IF($AD90=1,$G90,1)</f>
        <v>1</v>
      </c>
      <c r="AJ90" s="18" t="n">
        <f aca="false">IF($AD90=1,$V90,1)</f>
        <v>1</v>
      </c>
      <c r="AK90" s="18" t="n">
        <f aca="false">IF($AD90=1,$Y90,1)</f>
        <v>1</v>
      </c>
    </row>
    <row r="91" customFormat="false" ht="15" hidden="false" customHeight="false" outlineLevel="0" collapsed="false">
      <c r="A91" s="10"/>
      <c r="B91" s="10"/>
      <c r="C91" s="12"/>
      <c r="D91" s="17"/>
      <c r="E91" s="13"/>
      <c r="F91" s="21"/>
      <c r="G91" s="12"/>
      <c r="H91" s="12"/>
      <c r="I91" s="12"/>
      <c r="J91" s="12"/>
      <c r="K91" s="12"/>
      <c r="L91" s="12"/>
      <c r="M91" s="15"/>
      <c r="N91" s="15"/>
      <c r="O91" s="12"/>
      <c r="P91" s="17"/>
      <c r="Q91" s="22" t="str">
        <f aca="false">IF(OR($G91="",Setup!$B$5=""),"",Setup!$B$5/$G91)</f>
        <v/>
      </c>
      <c r="R91" s="23" t="str">
        <f aca="false">IF(OR($E91="",$Q91=""),"",1-(1-$E91)^$Q91)</f>
        <v/>
      </c>
      <c r="S91" s="22" t="str">
        <f aca="false">IF(OR($R91="",$H91=""),"",$H91*$R91)</f>
        <v/>
      </c>
      <c r="T91" s="23" t="str">
        <f aca="false">IF(OR($E91="",$I91=""),"",MIN(1,MIN(N($F91),$E91)+($E91-MIN(N($F91),$E91))*(1-$I91)))</f>
        <v/>
      </c>
      <c r="U91" s="23" t="str">
        <f aca="false">IF(OR($T91="",$Q91=""),"",1-(1-$T91)^$Q91)</f>
        <v/>
      </c>
      <c r="V91" s="23" t="str">
        <f aca="false">IF($M91&lt;&gt;"",$M91,IF($G91="","",MAX(1,(Setup!$B$6/$G91)^Setup!$B$7)))</f>
        <v/>
      </c>
      <c r="W91" s="22" t="str">
        <f aca="false">IF(COUNT($J91:$L91)&lt;3,"",Setup!$B$10*(6-$J91)+Setup!$B$11*$K91+Setup!$B$12*$L91)</f>
        <v/>
      </c>
      <c r="X91" s="23" t="str">
        <f aca="false">IF($W91="","",IF(LEFT(Setup!$B$15,1)="B",EXP(Setup!$B$14*($W91-1)),1+Setup!$B$14*($W91-1)))</f>
        <v/>
      </c>
      <c r="Y91" s="23" t="str">
        <f aca="false">IF($N91&lt;&gt;"",$N91,$X91)</f>
        <v/>
      </c>
      <c r="Z91" s="22" t="str">
        <f aca="false">IF(OR($H91="",$U91="",$V91=""),"",$H91*$U91*$V91)</f>
        <v/>
      </c>
      <c r="AA91" s="22" t="str">
        <f aca="false">IF(OR($Z91="",$Y91=""),"",$Z91*$Y91)</f>
        <v/>
      </c>
      <c r="AB91" s="1" t="str">
        <f aca="false">IF($A91="","",IF(OR($E91="",$G91="",$H91="",$I91="",AND($N91="",COUNT($J91:$L91)&lt;3)),"Missing: "&amp;IF($E91="","P ","")&amp;IF($G91="","T ","")&amp;IF($H91="","I ","")&amp;IF($I91="","C ","")&amp;IF(AND($N91="",COUNT($J91:$L91)&lt;3),"C_ctrl/C_ext/C_irr",""),IF(N($F91)&gt;$E91,"P_floor &gt; P (floor capped at P)","OK")))</f>
        <v/>
      </c>
      <c r="AC91" s="1" t="str">
        <f aca="false">IF($AA91="","",$AA91+ROW()/1000000)</f>
        <v/>
      </c>
      <c r="AD91" s="18" t="n">
        <f aca="false">IF(AND($A91&lt;&gt;"",ISNUMBER($AA91)),1,0)</f>
        <v>0</v>
      </c>
      <c r="AE91" s="18" t="n">
        <f aca="false">IF($AD91=1,$H91,0)</f>
        <v>0</v>
      </c>
      <c r="AF91" s="18" t="n">
        <f aca="false">IF($AD91=1,$E91,0)</f>
        <v>0</v>
      </c>
      <c r="AG91" s="18" t="n">
        <f aca="false">IF($AD91=1,MIN(N($F91),$E91),0)</f>
        <v>0</v>
      </c>
      <c r="AH91" s="18" t="n">
        <f aca="false">IF($AD91=1,$I91,0)</f>
        <v>0</v>
      </c>
      <c r="AI91" s="18" t="n">
        <f aca="false">IF($AD91=1,$G91,1)</f>
        <v>1</v>
      </c>
      <c r="AJ91" s="18" t="n">
        <f aca="false">IF($AD91=1,$V91,1)</f>
        <v>1</v>
      </c>
      <c r="AK91" s="18" t="n">
        <f aca="false">IF($AD91=1,$Y91,1)</f>
        <v>1</v>
      </c>
    </row>
    <row r="92" customFormat="false" ht="15" hidden="false" customHeight="false" outlineLevel="0" collapsed="false">
      <c r="A92" s="10"/>
      <c r="B92" s="10"/>
      <c r="C92" s="12"/>
      <c r="D92" s="17"/>
      <c r="E92" s="13"/>
      <c r="F92" s="21"/>
      <c r="G92" s="12"/>
      <c r="H92" s="12"/>
      <c r="I92" s="12"/>
      <c r="J92" s="12"/>
      <c r="K92" s="12"/>
      <c r="L92" s="12"/>
      <c r="M92" s="15"/>
      <c r="N92" s="15"/>
      <c r="O92" s="12"/>
      <c r="P92" s="17"/>
      <c r="Q92" s="22" t="str">
        <f aca="false">IF(OR($G92="",Setup!$B$5=""),"",Setup!$B$5/$G92)</f>
        <v/>
      </c>
      <c r="R92" s="23" t="str">
        <f aca="false">IF(OR($E92="",$Q92=""),"",1-(1-$E92)^$Q92)</f>
        <v/>
      </c>
      <c r="S92" s="22" t="str">
        <f aca="false">IF(OR($R92="",$H92=""),"",$H92*$R92)</f>
        <v/>
      </c>
      <c r="T92" s="23" t="str">
        <f aca="false">IF(OR($E92="",$I92=""),"",MIN(1,MIN(N($F92),$E92)+($E92-MIN(N($F92),$E92))*(1-$I92)))</f>
        <v/>
      </c>
      <c r="U92" s="23" t="str">
        <f aca="false">IF(OR($T92="",$Q92=""),"",1-(1-$T92)^$Q92)</f>
        <v/>
      </c>
      <c r="V92" s="23" t="str">
        <f aca="false">IF($M92&lt;&gt;"",$M92,IF($G92="","",MAX(1,(Setup!$B$6/$G92)^Setup!$B$7)))</f>
        <v/>
      </c>
      <c r="W92" s="22" t="str">
        <f aca="false">IF(COUNT($J92:$L92)&lt;3,"",Setup!$B$10*(6-$J92)+Setup!$B$11*$K92+Setup!$B$12*$L92)</f>
        <v/>
      </c>
      <c r="X92" s="23" t="str">
        <f aca="false">IF($W92="","",IF(LEFT(Setup!$B$15,1)="B",EXP(Setup!$B$14*($W92-1)),1+Setup!$B$14*($W92-1)))</f>
        <v/>
      </c>
      <c r="Y92" s="23" t="str">
        <f aca="false">IF($N92&lt;&gt;"",$N92,$X92)</f>
        <v/>
      </c>
      <c r="Z92" s="22" t="str">
        <f aca="false">IF(OR($H92="",$U92="",$V92=""),"",$H92*$U92*$V92)</f>
        <v/>
      </c>
      <c r="AA92" s="22" t="str">
        <f aca="false">IF(OR($Z92="",$Y92=""),"",$Z92*$Y92)</f>
        <v/>
      </c>
      <c r="AB92" s="1" t="str">
        <f aca="false">IF($A92="","",IF(OR($E92="",$G92="",$H92="",$I92="",AND($N92="",COUNT($J92:$L92)&lt;3)),"Missing: "&amp;IF($E92="","P ","")&amp;IF($G92="","T ","")&amp;IF($H92="","I ","")&amp;IF($I92="","C ","")&amp;IF(AND($N92="",COUNT($J92:$L92)&lt;3),"C_ctrl/C_ext/C_irr",""),IF(N($F92)&gt;$E92,"P_floor &gt; P (floor capped at P)","OK")))</f>
        <v/>
      </c>
      <c r="AC92" s="1" t="str">
        <f aca="false">IF($AA92="","",$AA92+ROW()/1000000)</f>
        <v/>
      </c>
      <c r="AD92" s="18" t="n">
        <f aca="false">IF(AND($A92&lt;&gt;"",ISNUMBER($AA92)),1,0)</f>
        <v>0</v>
      </c>
      <c r="AE92" s="18" t="n">
        <f aca="false">IF($AD92=1,$H92,0)</f>
        <v>0</v>
      </c>
      <c r="AF92" s="18" t="n">
        <f aca="false">IF($AD92=1,$E92,0)</f>
        <v>0</v>
      </c>
      <c r="AG92" s="18" t="n">
        <f aca="false">IF($AD92=1,MIN(N($F92),$E92),0)</f>
        <v>0</v>
      </c>
      <c r="AH92" s="18" t="n">
        <f aca="false">IF($AD92=1,$I92,0)</f>
        <v>0</v>
      </c>
      <c r="AI92" s="18" t="n">
        <f aca="false">IF($AD92=1,$G92,1)</f>
        <v>1</v>
      </c>
      <c r="AJ92" s="18" t="n">
        <f aca="false">IF($AD92=1,$V92,1)</f>
        <v>1</v>
      </c>
      <c r="AK92" s="18" t="n">
        <f aca="false">IF($AD92=1,$Y92,1)</f>
        <v>1</v>
      </c>
    </row>
    <row r="93" customFormat="false" ht="15" hidden="false" customHeight="false" outlineLevel="0" collapsed="false">
      <c r="A93" s="10"/>
      <c r="B93" s="10"/>
      <c r="C93" s="12"/>
      <c r="D93" s="17"/>
      <c r="E93" s="13"/>
      <c r="F93" s="21"/>
      <c r="G93" s="12"/>
      <c r="H93" s="12"/>
      <c r="I93" s="12"/>
      <c r="J93" s="12"/>
      <c r="K93" s="12"/>
      <c r="L93" s="12"/>
      <c r="M93" s="15"/>
      <c r="N93" s="15"/>
      <c r="O93" s="12"/>
      <c r="P93" s="17"/>
      <c r="Q93" s="22" t="str">
        <f aca="false">IF(OR($G93="",Setup!$B$5=""),"",Setup!$B$5/$G93)</f>
        <v/>
      </c>
      <c r="R93" s="23" t="str">
        <f aca="false">IF(OR($E93="",$Q93=""),"",1-(1-$E93)^$Q93)</f>
        <v/>
      </c>
      <c r="S93" s="22" t="str">
        <f aca="false">IF(OR($R93="",$H93=""),"",$H93*$R93)</f>
        <v/>
      </c>
      <c r="T93" s="23" t="str">
        <f aca="false">IF(OR($E93="",$I93=""),"",MIN(1,MIN(N($F93),$E93)+($E93-MIN(N($F93),$E93))*(1-$I93)))</f>
        <v/>
      </c>
      <c r="U93" s="23" t="str">
        <f aca="false">IF(OR($T93="",$Q93=""),"",1-(1-$T93)^$Q93)</f>
        <v/>
      </c>
      <c r="V93" s="23" t="str">
        <f aca="false">IF($M93&lt;&gt;"",$M93,IF($G93="","",MAX(1,(Setup!$B$6/$G93)^Setup!$B$7)))</f>
        <v/>
      </c>
      <c r="W93" s="22" t="str">
        <f aca="false">IF(COUNT($J93:$L93)&lt;3,"",Setup!$B$10*(6-$J93)+Setup!$B$11*$K93+Setup!$B$12*$L93)</f>
        <v/>
      </c>
      <c r="X93" s="23" t="str">
        <f aca="false">IF($W93="","",IF(LEFT(Setup!$B$15,1)="B",EXP(Setup!$B$14*($W93-1)),1+Setup!$B$14*($W93-1)))</f>
        <v/>
      </c>
      <c r="Y93" s="23" t="str">
        <f aca="false">IF($N93&lt;&gt;"",$N93,$X93)</f>
        <v/>
      </c>
      <c r="Z93" s="22" t="str">
        <f aca="false">IF(OR($H93="",$U93="",$V93=""),"",$H93*$U93*$V93)</f>
        <v/>
      </c>
      <c r="AA93" s="22" t="str">
        <f aca="false">IF(OR($Z93="",$Y93=""),"",$Z93*$Y93)</f>
        <v/>
      </c>
      <c r="AB93" s="1" t="str">
        <f aca="false">IF($A93="","",IF(OR($E93="",$G93="",$H93="",$I93="",AND($N93="",COUNT($J93:$L93)&lt;3)),"Missing: "&amp;IF($E93="","P ","")&amp;IF($G93="","T ","")&amp;IF($H93="","I ","")&amp;IF($I93="","C ","")&amp;IF(AND($N93="",COUNT($J93:$L93)&lt;3),"C_ctrl/C_ext/C_irr",""),IF(N($F93)&gt;$E93,"P_floor &gt; P (floor capped at P)","OK")))</f>
        <v/>
      </c>
      <c r="AC93" s="1" t="str">
        <f aca="false">IF($AA93="","",$AA93+ROW()/1000000)</f>
        <v/>
      </c>
      <c r="AD93" s="18" t="n">
        <f aca="false">IF(AND($A93&lt;&gt;"",ISNUMBER($AA93)),1,0)</f>
        <v>0</v>
      </c>
      <c r="AE93" s="18" t="n">
        <f aca="false">IF($AD93=1,$H93,0)</f>
        <v>0</v>
      </c>
      <c r="AF93" s="18" t="n">
        <f aca="false">IF($AD93=1,$E93,0)</f>
        <v>0</v>
      </c>
      <c r="AG93" s="18" t="n">
        <f aca="false">IF($AD93=1,MIN(N($F93),$E93),0)</f>
        <v>0</v>
      </c>
      <c r="AH93" s="18" t="n">
        <f aca="false">IF($AD93=1,$I93,0)</f>
        <v>0</v>
      </c>
      <c r="AI93" s="18" t="n">
        <f aca="false">IF($AD93=1,$G93,1)</f>
        <v>1</v>
      </c>
      <c r="AJ93" s="18" t="n">
        <f aca="false">IF($AD93=1,$V93,1)</f>
        <v>1</v>
      </c>
      <c r="AK93" s="18" t="n">
        <f aca="false">IF($AD93=1,$Y93,1)</f>
        <v>1</v>
      </c>
    </row>
    <row r="94" customFormat="false" ht="15" hidden="false" customHeight="false" outlineLevel="0" collapsed="false">
      <c r="A94" s="10"/>
      <c r="B94" s="10"/>
      <c r="C94" s="12"/>
      <c r="D94" s="17"/>
      <c r="E94" s="13"/>
      <c r="F94" s="21"/>
      <c r="G94" s="12"/>
      <c r="H94" s="12"/>
      <c r="I94" s="12"/>
      <c r="J94" s="12"/>
      <c r="K94" s="12"/>
      <c r="L94" s="12"/>
      <c r="M94" s="15"/>
      <c r="N94" s="15"/>
      <c r="O94" s="12"/>
      <c r="P94" s="17"/>
      <c r="Q94" s="22" t="str">
        <f aca="false">IF(OR($G94="",Setup!$B$5=""),"",Setup!$B$5/$G94)</f>
        <v/>
      </c>
      <c r="R94" s="23" t="str">
        <f aca="false">IF(OR($E94="",$Q94=""),"",1-(1-$E94)^$Q94)</f>
        <v/>
      </c>
      <c r="S94" s="22" t="str">
        <f aca="false">IF(OR($R94="",$H94=""),"",$H94*$R94)</f>
        <v/>
      </c>
      <c r="T94" s="23" t="str">
        <f aca="false">IF(OR($E94="",$I94=""),"",MIN(1,MIN(N($F94),$E94)+($E94-MIN(N($F94),$E94))*(1-$I94)))</f>
        <v/>
      </c>
      <c r="U94" s="23" t="str">
        <f aca="false">IF(OR($T94="",$Q94=""),"",1-(1-$T94)^$Q94)</f>
        <v/>
      </c>
      <c r="V94" s="23" t="str">
        <f aca="false">IF($M94&lt;&gt;"",$M94,IF($G94="","",MAX(1,(Setup!$B$6/$G94)^Setup!$B$7)))</f>
        <v/>
      </c>
      <c r="W94" s="22" t="str">
        <f aca="false">IF(COUNT($J94:$L94)&lt;3,"",Setup!$B$10*(6-$J94)+Setup!$B$11*$K94+Setup!$B$12*$L94)</f>
        <v/>
      </c>
      <c r="X94" s="23" t="str">
        <f aca="false">IF($W94="","",IF(LEFT(Setup!$B$15,1)="B",EXP(Setup!$B$14*($W94-1)),1+Setup!$B$14*($W94-1)))</f>
        <v/>
      </c>
      <c r="Y94" s="23" t="str">
        <f aca="false">IF($N94&lt;&gt;"",$N94,$X94)</f>
        <v/>
      </c>
      <c r="Z94" s="22" t="str">
        <f aca="false">IF(OR($H94="",$U94="",$V94=""),"",$H94*$U94*$V94)</f>
        <v/>
      </c>
      <c r="AA94" s="22" t="str">
        <f aca="false">IF(OR($Z94="",$Y94=""),"",$Z94*$Y94)</f>
        <v/>
      </c>
      <c r="AB94" s="1" t="str">
        <f aca="false">IF($A94="","",IF(OR($E94="",$G94="",$H94="",$I94="",AND($N94="",COUNT($J94:$L94)&lt;3)),"Missing: "&amp;IF($E94="","P ","")&amp;IF($G94="","T ","")&amp;IF($H94="","I ","")&amp;IF($I94="","C ","")&amp;IF(AND($N94="",COUNT($J94:$L94)&lt;3),"C_ctrl/C_ext/C_irr",""),IF(N($F94)&gt;$E94,"P_floor &gt; P (floor capped at P)","OK")))</f>
        <v/>
      </c>
      <c r="AC94" s="1" t="str">
        <f aca="false">IF($AA94="","",$AA94+ROW()/1000000)</f>
        <v/>
      </c>
      <c r="AD94" s="18" t="n">
        <f aca="false">IF(AND($A94&lt;&gt;"",ISNUMBER($AA94)),1,0)</f>
        <v>0</v>
      </c>
      <c r="AE94" s="18" t="n">
        <f aca="false">IF($AD94=1,$H94,0)</f>
        <v>0</v>
      </c>
      <c r="AF94" s="18" t="n">
        <f aca="false">IF($AD94=1,$E94,0)</f>
        <v>0</v>
      </c>
      <c r="AG94" s="18" t="n">
        <f aca="false">IF($AD94=1,MIN(N($F94),$E94),0)</f>
        <v>0</v>
      </c>
      <c r="AH94" s="18" t="n">
        <f aca="false">IF($AD94=1,$I94,0)</f>
        <v>0</v>
      </c>
      <c r="AI94" s="18" t="n">
        <f aca="false">IF($AD94=1,$G94,1)</f>
        <v>1</v>
      </c>
      <c r="AJ94" s="18" t="n">
        <f aca="false">IF($AD94=1,$V94,1)</f>
        <v>1</v>
      </c>
      <c r="AK94" s="18" t="n">
        <f aca="false">IF($AD94=1,$Y94,1)</f>
        <v>1</v>
      </c>
    </row>
    <row r="95" customFormat="false" ht="15" hidden="false" customHeight="false" outlineLevel="0" collapsed="false">
      <c r="A95" s="10"/>
      <c r="B95" s="10"/>
      <c r="C95" s="12"/>
      <c r="D95" s="17"/>
      <c r="E95" s="13"/>
      <c r="F95" s="21"/>
      <c r="G95" s="12"/>
      <c r="H95" s="12"/>
      <c r="I95" s="12"/>
      <c r="J95" s="12"/>
      <c r="K95" s="12"/>
      <c r="L95" s="12"/>
      <c r="M95" s="15"/>
      <c r="N95" s="15"/>
      <c r="O95" s="12"/>
      <c r="P95" s="17"/>
      <c r="Q95" s="22" t="str">
        <f aca="false">IF(OR($G95="",Setup!$B$5=""),"",Setup!$B$5/$G95)</f>
        <v/>
      </c>
      <c r="R95" s="23" t="str">
        <f aca="false">IF(OR($E95="",$Q95=""),"",1-(1-$E95)^$Q95)</f>
        <v/>
      </c>
      <c r="S95" s="22" t="str">
        <f aca="false">IF(OR($R95="",$H95=""),"",$H95*$R95)</f>
        <v/>
      </c>
      <c r="T95" s="23" t="str">
        <f aca="false">IF(OR($E95="",$I95=""),"",MIN(1,MIN(N($F95),$E95)+($E95-MIN(N($F95),$E95))*(1-$I95)))</f>
        <v/>
      </c>
      <c r="U95" s="23" t="str">
        <f aca="false">IF(OR($T95="",$Q95=""),"",1-(1-$T95)^$Q95)</f>
        <v/>
      </c>
      <c r="V95" s="23" t="str">
        <f aca="false">IF($M95&lt;&gt;"",$M95,IF($G95="","",MAX(1,(Setup!$B$6/$G95)^Setup!$B$7)))</f>
        <v/>
      </c>
      <c r="W95" s="22" t="str">
        <f aca="false">IF(COUNT($J95:$L95)&lt;3,"",Setup!$B$10*(6-$J95)+Setup!$B$11*$K95+Setup!$B$12*$L95)</f>
        <v/>
      </c>
      <c r="X95" s="23" t="str">
        <f aca="false">IF($W95="","",IF(LEFT(Setup!$B$15,1)="B",EXP(Setup!$B$14*($W95-1)),1+Setup!$B$14*($W95-1)))</f>
        <v/>
      </c>
      <c r="Y95" s="23" t="str">
        <f aca="false">IF($N95&lt;&gt;"",$N95,$X95)</f>
        <v/>
      </c>
      <c r="Z95" s="22" t="str">
        <f aca="false">IF(OR($H95="",$U95="",$V95=""),"",$H95*$U95*$V95)</f>
        <v/>
      </c>
      <c r="AA95" s="22" t="str">
        <f aca="false">IF(OR($Z95="",$Y95=""),"",$Z95*$Y95)</f>
        <v/>
      </c>
      <c r="AB95" s="1" t="str">
        <f aca="false">IF($A95="","",IF(OR($E95="",$G95="",$H95="",$I95="",AND($N95="",COUNT($J95:$L95)&lt;3)),"Missing: "&amp;IF($E95="","P ","")&amp;IF($G95="","T ","")&amp;IF($H95="","I ","")&amp;IF($I95="","C ","")&amp;IF(AND($N95="",COUNT($J95:$L95)&lt;3),"C_ctrl/C_ext/C_irr",""),IF(N($F95)&gt;$E95,"P_floor &gt; P (floor capped at P)","OK")))</f>
        <v/>
      </c>
      <c r="AC95" s="1" t="str">
        <f aca="false">IF($AA95="","",$AA95+ROW()/1000000)</f>
        <v/>
      </c>
      <c r="AD95" s="18" t="n">
        <f aca="false">IF(AND($A95&lt;&gt;"",ISNUMBER($AA95)),1,0)</f>
        <v>0</v>
      </c>
      <c r="AE95" s="18" t="n">
        <f aca="false">IF($AD95=1,$H95,0)</f>
        <v>0</v>
      </c>
      <c r="AF95" s="18" t="n">
        <f aca="false">IF($AD95=1,$E95,0)</f>
        <v>0</v>
      </c>
      <c r="AG95" s="18" t="n">
        <f aca="false">IF($AD95=1,MIN(N($F95),$E95),0)</f>
        <v>0</v>
      </c>
      <c r="AH95" s="18" t="n">
        <f aca="false">IF($AD95=1,$I95,0)</f>
        <v>0</v>
      </c>
      <c r="AI95" s="18" t="n">
        <f aca="false">IF($AD95=1,$G95,1)</f>
        <v>1</v>
      </c>
      <c r="AJ95" s="18" t="n">
        <f aca="false">IF($AD95=1,$V95,1)</f>
        <v>1</v>
      </c>
      <c r="AK95" s="18" t="n">
        <f aca="false">IF($AD95=1,$Y95,1)</f>
        <v>1</v>
      </c>
    </row>
    <row r="96" customFormat="false" ht="15" hidden="false" customHeight="false" outlineLevel="0" collapsed="false">
      <c r="A96" s="10"/>
      <c r="B96" s="10"/>
      <c r="C96" s="12"/>
      <c r="D96" s="17"/>
      <c r="E96" s="13"/>
      <c r="F96" s="21"/>
      <c r="G96" s="12"/>
      <c r="H96" s="12"/>
      <c r="I96" s="12"/>
      <c r="J96" s="12"/>
      <c r="K96" s="12"/>
      <c r="L96" s="12"/>
      <c r="M96" s="15"/>
      <c r="N96" s="15"/>
      <c r="O96" s="12"/>
      <c r="P96" s="17"/>
      <c r="Q96" s="22" t="str">
        <f aca="false">IF(OR($G96="",Setup!$B$5=""),"",Setup!$B$5/$G96)</f>
        <v/>
      </c>
      <c r="R96" s="23" t="str">
        <f aca="false">IF(OR($E96="",$Q96=""),"",1-(1-$E96)^$Q96)</f>
        <v/>
      </c>
      <c r="S96" s="22" t="str">
        <f aca="false">IF(OR($R96="",$H96=""),"",$H96*$R96)</f>
        <v/>
      </c>
      <c r="T96" s="23" t="str">
        <f aca="false">IF(OR($E96="",$I96=""),"",MIN(1,MIN(N($F96),$E96)+($E96-MIN(N($F96),$E96))*(1-$I96)))</f>
        <v/>
      </c>
      <c r="U96" s="23" t="str">
        <f aca="false">IF(OR($T96="",$Q96=""),"",1-(1-$T96)^$Q96)</f>
        <v/>
      </c>
      <c r="V96" s="23" t="str">
        <f aca="false">IF($M96&lt;&gt;"",$M96,IF($G96="","",MAX(1,(Setup!$B$6/$G96)^Setup!$B$7)))</f>
        <v/>
      </c>
      <c r="W96" s="22" t="str">
        <f aca="false">IF(COUNT($J96:$L96)&lt;3,"",Setup!$B$10*(6-$J96)+Setup!$B$11*$K96+Setup!$B$12*$L96)</f>
        <v/>
      </c>
      <c r="X96" s="23" t="str">
        <f aca="false">IF($W96="","",IF(LEFT(Setup!$B$15,1)="B",EXP(Setup!$B$14*($W96-1)),1+Setup!$B$14*($W96-1)))</f>
        <v/>
      </c>
      <c r="Y96" s="23" t="str">
        <f aca="false">IF($N96&lt;&gt;"",$N96,$X96)</f>
        <v/>
      </c>
      <c r="Z96" s="22" t="str">
        <f aca="false">IF(OR($H96="",$U96="",$V96=""),"",$H96*$U96*$V96)</f>
        <v/>
      </c>
      <c r="AA96" s="22" t="str">
        <f aca="false">IF(OR($Z96="",$Y96=""),"",$Z96*$Y96)</f>
        <v/>
      </c>
      <c r="AB96" s="1" t="str">
        <f aca="false">IF($A96="","",IF(OR($E96="",$G96="",$H96="",$I96="",AND($N96="",COUNT($J96:$L96)&lt;3)),"Missing: "&amp;IF($E96="","P ","")&amp;IF($G96="","T ","")&amp;IF($H96="","I ","")&amp;IF($I96="","C ","")&amp;IF(AND($N96="",COUNT($J96:$L96)&lt;3),"C_ctrl/C_ext/C_irr",""),IF(N($F96)&gt;$E96,"P_floor &gt; P (floor capped at P)","OK")))</f>
        <v/>
      </c>
      <c r="AC96" s="1" t="str">
        <f aca="false">IF($AA96="","",$AA96+ROW()/1000000)</f>
        <v/>
      </c>
      <c r="AD96" s="18" t="n">
        <f aca="false">IF(AND($A96&lt;&gt;"",ISNUMBER($AA96)),1,0)</f>
        <v>0</v>
      </c>
      <c r="AE96" s="18" t="n">
        <f aca="false">IF($AD96=1,$H96,0)</f>
        <v>0</v>
      </c>
      <c r="AF96" s="18" t="n">
        <f aca="false">IF($AD96=1,$E96,0)</f>
        <v>0</v>
      </c>
      <c r="AG96" s="18" t="n">
        <f aca="false">IF($AD96=1,MIN(N($F96),$E96),0)</f>
        <v>0</v>
      </c>
      <c r="AH96" s="18" t="n">
        <f aca="false">IF($AD96=1,$I96,0)</f>
        <v>0</v>
      </c>
      <c r="AI96" s="18" t="n">
        <f aca="false">IF($AD96=1,$G96,1)</f>
        <v>1</v>
      </c>
      <c r="AJ96" s="18" t="n">
        <f aca="false">IF($AD96=1,$V96,1)</f>
        <v>1</v>
      </c>
      <c r="AK96" s="18" t="n">
        <f aca="false">IF($AD96=1,$Y96,1)</f>
        <v>1</v>
      </c>
    </row>
    <row r="97" customFormat="false" ht="15" hidden="false" customHeight="false" outlineLevel="0" collapsed="false">
      <c r="A97" s="10"/>
      <c r="B97" s="10"/>
      <c r="C97" s="12"/>
      <c r="D97" s="17"/>
      <c r="E97" s="13"/>
      <c r="F97" s="21"/>
      <c r="G97" s="12"/>
      <c r="H97" s="12"/>
      <c r="I97" s="12"/>
      <c r="J97" s="12"/>
      <c r="K97" s="12"/>
      <c r="L97" s="12"/>
      <c r="M97" s="15"/>
      <c r="N97" s="15"/>
      <c r="O97" s="12"/>
      <c r="P97" s="17"/>
      <c r="Q97" s="22" t="str">
        <f aca="false">IF(OR($G97="",Setup!$B$5=""),"",Setup!$B$5/$G97)</f>
        <v/>
      </c>
      <c r="R97" s="23" t="str">
        <f aca="false">IF(OR($E97="",$Q97=""),"",1-(1-$E97)^$Q97)</f>
        <v/>
      </c>
      <c r="S97" s="22" t="str">
        <f aca="false">IF(OR($R97="",$H97=""),"",$H97*$R97)</f>
        <v/>
      </c>
      <c r="T97" s="23" t="str">
        <f aca="false">IF(OR($E97="",$I97=""),"",MIN(1,MIN(N($F97),$E97)+($E97-MIN(N($F97),$E97))*(1-$I97)))</f>
        <v/>
      </c>
      <c r="U97" s="23" t="str">
        <f aca="false">IF(OR($T97="",$Q97=""),"",1-(1-$T97)^$Q97)</f>
        <v/>
      </c>
      <c r="V97" s="23" t="str">
        <f aca="false">IF($M97&lt;&gt;"",$M97,IF($G97="","",MAX(1,(Setup!$B$6/$G97)^Setup!$B$7)))</f>
        <v/>
      </c>
      <c r="W97" s="22" t="str">
        <f aca="false">IF(COUNT($J97:$L97)&lt;3,"",Setup!$B$10*(6-$J97)+Setup!$B$11*$K97+Setup!$B$12*$L97)</f>
        <v/>
      </c>
      <c r="X97" s="23" t="str">
        <f aca="false">IF($W97="","",IF(LEFT(Setup!$B$15,1)="B",EXP(Setup!$B$14*($W97-1)),1+Setup!$B$14*($W97-1)))</f>
        <v/>
      </c>
      <c r="Y97" s="23" t="str">
        <f aca="false">IF($N97&lt;&gt;"",$N97,$X97)</f>
        <v/>
      </c>
      <c r="Z97" s="22" t="str">
        <f aca="false">IF(OR($H97="",$U97="",$V97=""),"",$H97*$U97*$V97)</f>
        <v/>
      </c>
      <c r="AA97" s="22" t="str">
        <f aca="false">IF(OR($Z97="",$Y97=""),"",$Z97*$Y97)</f>
        <v/>
      </c>
      <c r="AB97" s="1" t="str">
        <f aca="false">IF($A97="","",IF(OR($E97="",$G97="",$H97="",$I97="",AND($N97="",COUNT($J97:$L97)&lt;3)),"Missing: "&amp;IF($E97="","P ","")&amp;IF($G97="","T ","")&amp;IF($H97="","I ","")&amp;IF($I97="","C ","")&amp;IF(AND($N97="",COUNT($J97:$L97)&lt;3),"C_ctrl/C_ext/C_irr",""),IF(N($F97)&gt;$E97,"P_floor &gt; P (floor capped at P)","OK")))</f>
        <v/>
      </c>
      <c r="AC97" s="1" t="str">
        <f aca="false">IF($AA97="","",$AA97+ROW()/1000000)</f>
        <v/>
      </c>
      <c r="AD97" s="18" t="n">
        <f aca="false">IF(AND($A97&lt;&gt;"",ISNUMBER($AA97)),1,0)</f>
        <v>0</v>
      </c>
      <c r="AE97" s="18" t="n">
        <f aca="false">IF($AD97=1,$H97,0)</f>
        <v>0</v>
      </c>
      <c r="AF97" s="18" t="n">
        <f aca="false">IF($AD97=1,$E97,0)</f>
        <v>0</v>
      </c>
      <c r="AG97" s="18" t="n">
        <f aca="false">IF($AD97=1,MIN(N($F97),$E97),0)</f>
        <v>0</v>
      </c>
      <c r="AH97" s="18" t="n">
        <f aca="false">IF($AD97=1,$I97,0)</f>
        <v>0</v>
      </c>
      <c r="AI97" s="18" t="n">
        <f aca="false">IF($AD97=1,$G97,1)</f>
        <v>1</v>
      </c>
      <c r="AJ97" s="18" t="n">
        <f aca="false">IF($AD97=1,$V97,1)</f>
        <v>1</v>
      </c>
      <c r="AK97" s="18" t="n">
        <f aca="false">IF($AD97=1,$Y97,1)</f>
        <v>1</v>
      </c>
    </row>
    <row r="98" customFormat="false" ht="15" hidden="false" customHeight="false" outlineLevel="0" collapsed="false">
      <c r="A98" s="10"/>
      <c r="B98" s="10"/>
      <c r="C98" s="12"/>
      <c r="D98" s="17"/>
      <c r="E98" s="13"/>
      <c r="F98" s="21"/>
      <c r="G98" s="12"/>
      <c r="H98" s="12"/>
      <c r="I98" s="12"/>
      <c r="J98" s="12"/>
      <c r="K98" s="12"/>
      <c r="L98" s="12"/>
      <c r="M98" s="15"/>
      <c r="N98" s="15"/>
      <c r="O98" s="12"/>
      <c r="P98" s="17"/>
      <c r="Q98" s="22" t="str">
        <f aca="false">IF(OR($G98="",Setup!$B$5=""),"",Setup!$B$5/$G98)</f>
        <v/>
      </c>
      <c r="R98" s="23" t="str">
        <f aca="false">IF(OR($E98="",$Q98=""),"",1-(1-$E98)^$Q98)</f>
        <v/>
      </c>
      <c r="S98" s="22" t="str">
        <f aca="false">IF(OR($R98="",$H98=""),"",$H98*$R98)</f>
        <v/>
      </c>
      <c r="T98" s="23" t="str">
        <f aca="false">IF(OR($E98="",$I98=""),"",MIN(1,MIN(N($F98),$E98)+($E98-MIN(N($F98),$E98))*(1-$I98)))</f>
        <v/>
      </c>
      <c r="U98" s="23" t="str">
        <f aca="false">IF(OR($T98="",$Q98=""),"",1-(1-$T98)^$Q98)</f>
        <v/>
      </c>
      <c r="V98" s="23" t="str">
        <f aca="false">IF($M98&lt;&gt;"",$M98,IF($G98="","",MAX(1,(Setup!$B$6/$G98)^Setup!$B$7)))</f>
        <v/>
      </c>
      <c r="W98" s="22" t="str">
        <f aca="false">IF(COUNT($J98:$L98)&lt;3,"",Setup!$B$10*(6-$J98)+Setup!$B$11*$K98+Setup!$B$12*$L98)</f>
        <v/>
      </c>
      <c r="X98" s="23" t="str">
        <f aca="false">IF($W98="","",IF(LEFT(Setup!$B$15,1)="B",EXP(Setup!$B$14*($W98-1)),1+Setup!$B$14*($W98-1)))</f>
        <v/>
      </c>
      <c r="Y98" s="23" t="str">
        <f aca="false">IF($N98&lt;&gt;"",$N98,$X98)</f>
        <v/>
      </c>
      <c r="Z98" s="22" t="str">
        <f aca="false">IF(OR($H98="",$U98="",$V98=""),"",$H98*$U98*$V98)</f>
        <v/>
      </c>
      <c r="AA98" s="22" t="str">
        <f aca="false">IF(OR($Z98="",$Y98=""),"",$Z98*$Y98)</f>
        <v/>
      </c>
      <c r="AB98" s="1" t="str">
        <f aca="false">IF($A98="","",IF(OR($E98="",$G98="",$H98="",$I98="",AND($N98="",COUNT($J98:$L98)&lt;3)),"Missing: "&amp;IF($E98="","P ","")&amp;IF($G98="","T ","")&amp;IF($H98="","I ","")&amp;IF($I98="","C ","")&amp;IF(AND($N98="",COUNT($J98:$L98)&lt;3),"C_ctrl/C_ext/C_irr",""),IF(N($F98)&gt;$E98,"P_floor &gt; P (floor capped at P)","OK")))</f>
        <v/>
      </c>
      <c r="AC98" s="1" t="str">
        <f aca="false">IF($AA98="","",$AA98+ROW()/1000000)</f>
        <v/>
      </c>
      <c r="AD98" s="18" t="n">
        <f aca="false">IF(AND($A98&lt;&gt;"",ISNUMBER($AA98)),1,0)</f>
        <v>0</v>
      </c>
      <c r="AE98" s="18" t="n">
        <f aca="false">IF($AD98=1,$H98,0)</f>
        <v>0</v>
      </c>
      <c r="AF98" s="18" t="n">
        <f aca="false">IF($AD98=1,$E98,0)</f>
        <v>0</v>
      </c>
      <c r="AG98" s="18" t="n">
        <f aca="false">IF($AD98=1,MIN(N($F98),$E98),0)</f>
        <v>0</v>
      </c>
      <c r="AH98" s="18" t="n">
        <f aca="false">IF($AD98=1,$I98,0)</f>
        <v>0</v>
      </c>
      <c r="AI98" s="18" t="n">
        <f aca="false">IF($AD98=1,$G98,1)</f>
        <v>1</v>
      </c>
      <c r="AJ98" s="18" t="n">
        <f aca="false">IF($AD98=1,$V98,1)</f>
        <v>1</v>
      </c>
      <c r="AK98" s="18" t="n">
        <f aca="false">IF($AD98=1,$Y98,1)</f>
        <v>1</v>
      </c>
    </row>
    <row r="99" customFormat="false" ht="15" hidden="false" customHeight="false" outlineLevel="0" collapsed="false">
      <c r="A99" s="10"/>
      <c r="B99" s="10"/>
      <c r="C99" s="12"/>
      <c r="D99" s="17"/>
      <c r="E99" s="13"/>
      <c r="F99" s="21"/>
      <c r="G99" s="12"/>
      <c r="H99" s="12"/>
      <c r="I99" s="12"/>
      <c r="J99" s="12"/>
      <c r="K99" s="12"/>
      <c r="L99" s="12"/>
      <c r="M99" s="15"/>
      <c r="N99" s="15"/>
      <c r="O99" s="12"/>
      <c r="P99" s="17"/>
      <c r="Q99" s="22" t="str">
        <f aca="false">IF(OR($G99="",Setup!$B$5=""),"",Setup!$B$5/$G99)</f>
        <v/>
      </c>
      <c r="R99" s="23" t="str">
        <f aca="false">IF(OR($E99="",$Q99=""),"",1-(1-$E99)^$Q99)</f>
        <v/>
      </c>
      <c r="S99" s="22" t="str">
        <f aca="false">IF(OR($R99="",$H99=""),"",$H99*$R99)</f>
        <v/>
      </c>
      <c r="T99" s="23" t="str">
        <f aca="false">IF(OR($E99="",$I99=""),"",MIN(1,MIN(N($F99),$E99)+($E99-MIN(N($F99),$E99))*(1-$I99)))</f>
        <v/>
      </c>
      <c r="U99" s="23" t="str">
        <f aca="false">IF(OR($T99="",$Q99=""),"",1-(1-$T99)^$Q99)</f>
        <v/>
      </c>
      <c r="V99" s="23" t="str">
        <f aca="false">IF($M99&lt;&gt;"",$M99,IF($G99="","",MAX(1,(Setup!$B$6/$G99)^Setup!$B$7)))</f>
        <v/>
      </c>
      <c r="W99" s="22" t="str">
        <f aca="false">IF(COUNT($J99:$L99)&lt;3,"",Setup!$B$10*(6-$J99)+Setup!$B$11*$K99+Setup!$B$12*$L99)</f>
        <v/>
      </c>
      <c r="X99" s="23" t="str">
        <f aca="false">IF($W99="","",IF(LEFT(Setup!$B$15,1)="B",EXP(Setup!$B$14*($W99-1)),1+Setup!$B$14*($W99-1)))</f>
        <v/>
      </c>
      <c r="Y99" s="23" t="str">
        <f aca="false">IF($N99&lt;&gt;"",$N99,$X99)</f>
        <v/>
      </c>
      <c r="Z99" s="22" t="str">
        <f aca="false">IF(OR($H99="",$U99="",$V99=""),"",$H99*$U99*$V99)</f>
        <v/>
      </c>
      <c r="AA99" s="22" t="str">
        <f aca="false">IF(OR($Z99="",$Y99=""),"",$Z99*$Y99)</f>
        <v/>
      </c>
      <c r="AB99" s="1" t="str">
        <f aca="false">IF($A99="","",IF(OR($E99="",$G99="",$H99="",$I99="",AND($N99="",COUNT($J99:$L99)&lt;3)),"Missing: "&amp;IF($E99="","P ","")&amp;IF($G99="","T ","")&amp;IF($H99="","I ","")&amp;IF($I99="","C ","")&amp;IF(AND($N99="",COUNT($J99:$L99)&lt;3),"C_ctrl/C_ext/C_irr",""),IF(N($F99)&gt;$E99,"P_floor &gt; P (floor capped at P)","OK")))</f>
        <v/>
      </c>
      <c r="AC99" s="1" t="str">
        <f aca="false">IF($AA99="","",$AA99+ROW()/1000000)</f>
        <v/>
      </c>
      <c r="AD99" s="18" t="n">
        <f aca="false">IF(AND($A99&lt;&gt;"",ISNUMBER($AA99)),1,0)</f>
        <v>0</v>
      </c>
      <c r="AE99" s="18" t="n">
        <f aca="false">IF($AD99=1,$H99,0)</f>
        <v>0</v>
      </c>
      <c r="AF99" s="18" t="n">
        <f aca="false">IF($AD99=1,$E99,0)</f>
        <v>0</v>
      </c>
      <c r="AG99" s="18" t="n">
        <f aca="false">IF($AD99=1,MIN(N($F99),$E99),0)</f>
        <v>0</v>
      </c>
      <c r="AH99" s="18" t="n">
        <f aca="false">IF($AD99=1,$I99,0)</f>
        <v>0</v>
      </c>
      <c r="AI99" s="18" t="n">
        <f aca="false">IF($AD99=1,$G99,1)</f>
        <v>1</v>
      </c>
      <c r="AJ99" s="18" t="n">
        <f aca="false">IF($AD99=1,$V99,1)</f>
        <v>1</v>
      </c>
      <c r="AK99" s="18" t="n">
        <f aca="false">IF($AD99=1,$Y99,1)</f>
        <v>1</v>
      </c>
    </row>
    <row r="100" customFormat="false" ht="15" hidden="false" customHeight="false" outlineLevel="0" collapsed="false">
      <c r="A100" s="10"/>
      <c r="B100" s="10"/>
      <c r="C100" s="12"/>
      <c r="D100" s="17"/>
      <c r="E100" s="13"/>
      <c r="F100" s="21"/>
      <c r="G100" s="12"/>
      <c r="H100" s="12"/>
      <c r="I100" s="12"/>
      <c r="J100" s="12"/>
      <c r="K100" s="12"/>
      <c r="L100" s="12"/>
      <c r="M100" s="15"/>
      <c r="N100" s="15"/>
      <c r="O100" s="12"/>
      <c r="P100" s="17"/>
      <c r="Q100" s="22" t="str">
        <f aca="false">IF(OR($G100="",Setup!$B$5=""),"",Setup!$B$5/$G100)</f>
        <v/>
      </c>
      <c r="R100" s="23" t="str">
        <f aca="false">IF(OR($E100="",$Q100=""),"",1-(1-$E100)^$Q100)</f>
        <v/>
      </c>
      <c r="S100" s="22" t="str">
        <f aca="false">IF(OR($R100="",$H100=""),"",$H100*$R100)</f>
        <v/>
      </c>
      <c r="T100" s="23" t="str">
        <f aca="false">IF(OR($E100="",$I100=""),"",MIN(1,MIN(N($F100),$E100)+($E100-MIN(N($F100),$E100))*(1-$I100)))</f>
        <v/>
      </c>
      <c r="U100" s="23" t="str">
        <f aca="false">IF(OR($T100="",$Q100=""),"",1-(1-$T100)^$Q100)</f>
        <v/>
      </c>
      <c r="V100" s="23" t="str">
        <f aca="false">IF($M100&lt;&gt;"",$M100,IF($G100="","",MAX(1,(Setup!$B$6/$G100)^Setup!$B$7)))</f>
        <v/>
      </c>
      <c r="W100" s="22" t="str">
        <f aca="false">IF(COUNT($J100:$L100)&lt;3,"",Setup!$B$10*(6-$J100)+Setup!$B$11*$K100+Setup!$B$12*$L100)</f>
        <v/>
      </c>
      <c r="X100" s="23" t="str">
        <f aca="false">IF($W100="","",IF(LEFT(Setup!$B$15,1)="B",EXP(Setup!$B$14*($W100-1)),1+Setup!$B$14*($W100-1)))</f>
        <v/>
      </c>
      <c r="Y100" s="23" t="str">
        <f aca="false">IF($N100&lt;&gt;"",$N100,$X100)</f>
        <v/>
      </c>
      <c r="Z100" s="22" t="str">
        <f aca="false">IF(OR($H100="",$U100="",$V100=""),"",$H100*$U100*$V100)</f>
        <v/>
      </c>
      <c r="AA100" s="22" t="str">
        <f aca="false">IF(OR($Z100="",$Y100=""),"",$Z100*$Y100)</f>
        <v/>
      </c>
      <c r="AB100" s="1" t="str">
        <f aca="false">IF($A100="","",IF(OR($E100="",$G100="",$H100="",$I100="",AND($N100="",COUNT($J100:$L100)&lt;3)),"Missing: "&amp;IF($E100="","P ","")&amp;IF($G100="","T ","")&amp;IF($H100="","I ","")&amp;IF($I100="","C ","")&amp;IF(AND($N100="",COUNT($J100:$L100)&lt;3),"C_ctrl/C_ext/C_irr",""),IF(N($F100)&gt;$E100,"P_floor &gt; P (floor capped at P)","OK")))</f>
        <v/>
      </c>
      <c r="AC100" s="1" t="str">
        <f aca="false">IF($AA100="","",$AA100+ROW()/1000000)</f>
        <v/>
      </c>
      <c r="AD100" s="18" t="n">
        <f aca="false">IF(AND($A100&lt;&gt;"",ISNUMBER($AA100)),1,0)</f>
        <v>0</v>
      </c>
      <c r="AE100" s="18" t="n">
        <f aca="false">IF($AD100=1,$H100,0)</f>
        <v>0</v>
      </c>
      <c r="AF100" s="18" t="n">
        <f aca="false">IF($AD100=1,$E100,0)</f>
        <v>0</v>
      </c>
      <c r="AG100" s="18" t="n">
        <f aca="false">IF($AD100=1,MIN(N($F100),$E100),0)</f>
        <v>0</v>
      </c>
      <c r="AH100" s="18" t="n">
        <f aca="false">IF($AD100=1,$I100,0)</f>
        <v>0</v>
      </c>
      <c r="AI100" s="18" t="n">
        <f aca="false">IF($AD100=1,$G100,1)</f>
        <v>1</v>
      </c>
      <c r="AJ100" s="18" t="n">
        <f aca="false">IF($AD100=1,$V100,1)</f>
        <v>1</v>
      </c>
      <c r="AK100" s="18" t="n">
        <f aca="false">IF($AD100=1,$Y100,1)</f>
        <v>1</v>
      </c>
    </row>
    <row r="101" customFormat="false" ht="15" hidden="false" customHeight="false" outlineLevel="0" collapsed="false">
      <c r="A101" s="10"/>
      <c r="B101" s="10"/>
      <c r="C101" s="12"/>
      <c r="D101" s="17"/>
      <c r="E101" s="13"/>
      <c r="F101" s="21"/>
      <c r="G101" s="12"/>
      <c r="H101" s="12"/>
      <c r="I101" s="12"/>
      <c r="J101" s="12"/>
      <c r="K101" s="12"/>
      <c r="L101" s="12"/>
      <c r="M101" s="15"/>
      <c r="N101" s="15"/>
      <c r="O101" s="12"/>
      <c r="P101" s="17"/>
      <c r="Q101" s="22" t="str">
        <f aca="false">IF(OR($G101="",Setup!$B$5=""),"",Setup!$B$5/$G101)</f>
        <v/>
      </c>
      <c r="R101" s="23" t="str">
        <f aca="false">IF(OR($E101="",$Q101=""),"",1-(1-$E101)^$Q101)</f>
        <v/>
      </c>
      <c r="S101" s="22" t="str">
        <f aca="false">IF(OR($R101="",$H101=""),"",$H101*$R101)</f>
        <v/>
      </c>
      <c r="T101" s="23" t="str">
        <f aca="false">IF(OR($E101="",$I101=""),"",MIN(1,MIN(N($F101),$E101)+($E101-MIN(N($F101),$E101))*(1-$I101)))</f>
        <v/>
      </c>
      <c r="U101" s="23" t="str">
        <f aca="false">IF(OR($T101="",$Q101=""),"",1-(1-$T101)^$Q101)</f>
        <v/>
      </c>
      <c r="V101" s="23" t="str">
        <f aca="false">IF($M101&lt;&gt;"",$M101,IF($G101="","",MAX(1,(Setup!$B$6/$G101)^Setup!$B$7)))</f>
        <v/>
      </c>
      <c r="W101" s="22" t="str">
        <f aca="false">IF(COUNT($J101:$L101)&lt;3,"",Setup!$B$10*(6-$J101)+Setup!$B$11*$K101+Setup!$B$12*$L101)</f>
        <v/>
      </c>
      <c r="X101" s="23" t="str">
        <f aca="false">IF($W101="","",IF(LEFT(Setup!$B$15,1)="B",EXP(Setup!$B$14*($W101-1)),1+Setup!$B$14*($W101-1)))</f>
        <v/>
      </c>
      <c r="Y101" s="23" t="str">
        <f aca="false">IF($N101&lt;&gt;"",$N101,$X101)</f>
        <v/>
      </c>
      <c r="Z101" s="22" t="str">
        <f aca="false">IF(OR($H101="",$U101="",$V101=""),"",$H101*$U101*$V101)</f>
        <v/>
      </c>
      <c r="AA101" s="22" t="str">
        <f aca="false">IF(OR($Z101="",$Y101=""),"",$Z101*$Y101)</f>
        <v/>
      </c>
      <c r="AB101" s="1" t="str">
        <f aca="false">IF($A101="","",IF(OR($E101="",$G101="",$H101="",$I101="",AND($N101="",COUNT($J101:$L101)&lt;3)),"Missing: "&amp;IF($E101="","P ","")&amp;IF($G101="","T ","")&amp;IF($H101="","I ","")&amp;IF($I101="","C ","")&amp;IF(AND($N101="",COUNT($J101:$L101)&lt;3),"C_ctrl/C_ext/C_irr",""),IF(N($F101)&gt;$E101,"P_floor &gt; P (floor capped at P)","OK")))</f>
        <v/>
      </c>
      <c r="AC101" s="1" t="str">
        <f aca="false">IF($AA101="","",$AA101+ROW()/1000000)</f>
        <v/>
      </c>
      <c r="AD101" s="18" t="n">
        <f aca="false">IF(AND($A101&lt;&gt;"",ISNUMBER($AA101)),1,0)</f>
        <v>0</v>
      </c>
      <c r="AE101" s="18" t="n">
        <f aca="false">IF($AD101=1,$H101,0)</f>
        <v>0</v>
      </c>
      <c r="AF101" s="18" t="n">
        <f aca="false">IF($AD101=1,$E101,0)</f>
        <v>0</v>
      </c>
      <c r="AG101" s="18" t="n">
        <f aca="false">IF($AD101=1,MIN(N($F101),$E101),0)</f>
        <v>0</v>
      </c>
      <c r="AH101" s="18" t="n">
        <f aca="false">IF($AD101=1,$I101,0)</f>
        <v>0</v>
      </c>
      <c r="AI101" s="18" t="n">
        <f aca="false">IF($AD101=1,$G101,1)</f>
        <v>1</v>
      </c>
      <c r="AJ101" s="18" t="n">
        <f aca="false">IF($AD101=1,$V101,1)</f>
        <v>1</v>
      </c>
      <c r="AK101" s="18" t="n">
        <f aca="false">IF($AD101=1,$Y101,1)</f>
        <v>1</v>
      </c>
    </row>
    <row r="102" customFormat="false" ht="15" hidden="false" customHeight="false" outlineLevel="0" collapsed="false">
      <c r="A102" s="10"/>
      <c r="B102" s="10"/>
      <c r="C102" s="12"/>
      <c r="D102" s="17"/>
      <c r="E102" s="13"/>
      <c r="F102" s="21"/>
      <c r="G102" s="12"/>
      <c r="H102" s="12"/>
      <c r="I102" s="12"/>
      <c r="J102" s="12"/>
      <c r="K102" s="12"/>
      <c r="L102" s="12"/>
      <c r="M102" s="15"/>
      <c r="N102" s="15"/>
      <c r="O102" s="12"/>
      <c r="P102" s="17"/>
      <c r="Q102" s="22" t="str">
        <f aca="false">IF(OR($G102="",Setup!$B$5=""),"",Setup!$B$5/$G102)</f>
        <v/>
      </c>
      <c r="R102" s="23" t="str">
        <f aca="false">IF(OR($E102="",$Q102=""),"",1-(1-$E102)^$Q102)</f>
        <v/>
      </c>
      <c r="S102" s="22" t="str">
        <f aca="false">IF(OR($R102="",$H102=""),"",$H102*$R102)</f>
        <v/>
      </c>
      <c r="T102" s="23" t="str">
        <f aca="false">IF(OR($E102="",$I102=""),"",MIN(1,MIN(N($F102),$E102)+($E102-MIN(N($F102),$E102))*(1-$I102)))</f>
        <v/>
      </c>
      <c r="U102" s="23" t="str">
        <f aca="false">IF(OR($T102="",$Q102=""),"",1-(1-$T102)^$Q102)</f>
        <v/>
      </c>
      <c r="V102" s="23" t="str">
        <f aca="false">IF($M102&lt;&gt;"",$M102,IF($G102="","",MAX(1,(Setup!$B$6/$G102)^Setup!$B$7)))</f>
        <v/>
      </c>
      <c r="W102" s="22" t="str">
        <f aca="false">IF(COUNT($J102:$L102)&lt;3,"",Setup!$B$10*(6-$J102)+Setup!$B$11*$K102+Setup!$B$12*$L102)</f>
        <v/>
      </c>
      <c r="X102" s="23" t="str">
        <f aca="false">IF($W102="","",IF(LEFT(Setup!$B$15,1)="B",EXP(Setup!$B$14*($W102-1)),1+Setup!$B$14*($W102-1)))</f>
        <v/>
      </c>
      <c r="Y102" s="23" t="str">
        <f aca="false">IF($N102&lt;&gt;"",$N102,$X102)</f>
        <v/>
      </c>
      <c r="Z102" s="22" t="str">
        <f aca="false">IF(OR($H102="",$U102="",$V102=""),"",$H102*$U102*$V102)</f>
        <v/>
      </c>
      <c r="AA102" s="22" t="str">
        <f aca="false">IF(OR($Z102="",$Y102=""),"",$Z102*$Y102)</f>
        <v/>
      </c>
      <c r="AB102" s="1" t="str">
        <f aca="false">IF($A102="","",IF(OR($E102="",$G102="",$H102="",$I102="",AND($N102="",COUNT($J102:$L102)&lt;3)),"Missing: "&amp;IF($E102="","P ","")&amp;IF($G102="","T ","")&amp;IF($H102="","I ","")&amp;IF($I102="","C ","")&amp;IF(AND($N102="",COUNT($J102:$L102)&lt;3),"C_ctrl/C_ext/C_irr",""),IF(N($F102)&gt;$E102,"P_floor &gt; P (floor capped at P)","OK")))</f>
        <v/>
      </c>
      <c r="AC102" s="1" t="str">
        <f aca="false">IF($AA102="","",$AA102+ROW()/1000000)</f>
        <v/>
      </c>
      <c r="AD102" s="18" t="n">
        <f aca="false">IF(AND($A102&lt;&gt;"",ISNUMBER($AA102)),1,0)</f>
        <v>0</v>
      </c>
      <c r="AE102" s="18" t="n">
        <f aca="false">IF($AD102=1,$H102,0)</f>
        <v>0</v>
      </c>
      <c r="AF102" s="18" t="n">
        <f aca="false">IF($AD102=1,$E102,0)</f>
        <v>0</v>
      </c>
      <c r="AG102" s="18" t="n">
        <f aca="false">IF($AD102=1,MIN(N($F102),$E102),0)</f>
        <v>0</v>
      </c>
      <c r="AH102" s="18" t="n">
        <f aca="false">IF($AD102=1,$I102,0)</f>
        <v>0</v>
      </c>
      <c r="AI102" s="18" t="n">
        <f aca="false">IF($AD102=1,$G102,1)</f>
        <v>1</v>
      </c>
      <c r="AJ102" s="18" t="n">
        <f aca="false">IF($AD102=1,$V102,1)</f>
        <v>1</v>
      </c>
      <c r="AK102" s="18" t="n">
        <f aca="false">IF($AD102=1,$Y102,1)</f>
        <v>1</v>
      </c>
    </row>
    <row r="103" customFormat="false" ht="15" hidden="false" customHeight="false" outlineLevel="0" collapsed="false">
      <c r="A103" s="10"/>
      <c r="B103" s="10"/>
      <c r="C103" s="12"/>
      <c r="D103" s="17"/>
      <c r="E103" s="13"/>
      <c r="F103" s="21"/>
      <c r="G103" s="12"/>
      <c r="H103" s="12"/>
      <c r="I103" s="12"/>
      <c r="J103" s="12"/>
      <c r="K103" s="12"/>
      <c r="L103" s="12"/>
      <c r="M103" s="15"/>
      <c r="N103" s="15"/>
      <c r="O103" s="12"/>
      <c r="P103" s="17"/>
      <c r="Q103" s="22" t="str">
        <f aca="false">IF(OR($G103="",Setup!$B$5=""),"",Setup!$B$5/$G103)</f>
        <v/>
      </c>
      <c r="R103" s="23" t="str">
        <f aca="false">IF(OR($E103="",$Q103=""),"",1-(1-$E103)^$Q103)</f>
        <v/>
      </c>
      <c r="S103" s="22" t="str">
        <f aca="false">IF(OR($R103="",$H103=""),"",$H103*$R103)</f>
        <v/>
      </c>
      <c r="T103" s="23" t="str">
        <f aca="false">IF(OR($E103="",$I103=""),"",MIN(1,MIN(N($F103),$E103)+($E103-MIN(N($F103),$E103))*(1-$I103)))</f>
        <v/>
      </c>
      <c r="U103" s="23" t="str">
        <f aca="false">IF(OR($T103="",$Q103=""),"",1-(1-$T103)^$Q103)</f>
        <v/>
      </c>
      <c r="V103" s="23" t="str">
        <f aca="false">IF($M103&lt;&gt;"",$M103,IF($G103="","",MAX(1,(Setup!$B$6/$G103)^Setup!$B$7)))</f>
        <v/>
      </c>
      <c r="W103" s="22" t="str">
        <f aca="false">IF(COUNT($J103:$L103)&lt;3,"",Setup!$B$10*(6-$J103)+Setup!$B$11*$K103+Setup!$B$12*$L103)</f>
        <v/>
      </c>
      <c r="X103" s="23" t="str">
        <f aca="false">IF($W103="","",IF(LEFT(Setup!$B$15,1)="B",EXP(Setup!$B$14*($W103-1)),1+Setup!$B$14*($W103-1)))</f>
        <v/>
      </c>
      <c r="Y103" s="23" t="str">
        <f aca="false">IF($N103&lt;&gt;"",$N103,$X103)</f>
        <v/>
      </c>
      <c r="Z103" s="22" t="str">
        <f aca="false">IF(OR($H103="",$U103="",$V103=""),"",$H103*$U103*$V103)</f>
        <v/>
      </c>
      <c r="AA103" s="22" t="str">
        <f aca="false">IF(OR($Z103="",$Y103=""),"",$Z103*$Y103)</f>
        <v/>
      </c>
      <c r="AB103" s="1" t="str">
        <f aca="false">IF($A103="","",IF(OR($E103="",$G103="",$H103="",$I103="",AND($N103="",COUNT($J103:$L103)&lt;3)),"Missing: "&amp;IF($E103="","P ","")&amp;IF($G103="","T ","")&amp;IF($H103="","I ","")&amp;IF($I103="","C ","")&amp;IF(AND($N103="",COUNT($J103:$L103)&lt;3),"C_ctrl/C_ext/C_irr",""),IF(N($F103)&gt;$E103,"P_floor &gt; P (floor capped at P)","OK")))</f>
        <v/>
      </c>
      <c r="AC103" s="1" t="str">
        <f aca="false">IF($AA103="","",$AA103+ROW()/1000000)</f>
        <v/>
      </c>
      <c r="AD103" s="18" t="n">
        <f aca="false">IF(AND($A103&lt;&gt;"",ISNUMBER($AA103)),1,0)</f>
        <v>0</v>
      </c>
      <c r="AE103" s="18" t="n">
        <f aca="false">IF($AD103=1,$H103,0)</f>
        <v>0</v>
      </c>
      <c r="AF103" s="18" t="n">
        <f aca="false">IF($AD103=1,$E103,0)</f>
        <v>0</v>
      </c>
      <c r="AG103" s="18" t="n">
        <f aca="false">IF($AD103=1,MIN(N($F103),$E103),0)</f>
        <v>0</v>
      </c>
      <c r="AH103" s="18" t="n">
        <f aca="false">IF($AD103=1,$I103,0)</f>
        <v>0</v>
      </c>
      <c r="AI103" s="18" t="n">
        <f aca="false">IF($AD103=1,$G103,1)</f>
        <v>1</v>
      </c>
      <c r="AJ103" s="18" t="n">
        <f aca="false">IF($AD103=1,$V103,1)</f>
        <v>1</v>
      </c>
      <c r="AK103" s="18" t="n">
        <f aca="false">IF($AD103=1,$Y103,1)</f>
        <v>1</v>
      </c>
    </row>
    <row r="104" customFormat="false" ht="15" hidden="false" customHeight="false" outlineLevel="0" collapsed="false">
      <c r="A104" s="10"/>
      <c r="B104" s="10"/>
      <c r="C104" s="12"/>
      <c r="D104" s="17"/>
      <c r="E104" s="13"/>
      <c r="F104" s="21"/>
      <c r="G104" s="12"/>
      <c r="H104" s="12"/>
      <c r="I104" s="12"/>
      <c r="J104" s="12"/>
      <c r="K104" s="12"/>
      <c r="L104" s="12"/>
      <c r="M104" s="15"/>
      <c r="N104" s="15"/>
      <c r="O104" s="12"/>
      <c r="P104" s="17"/>
      <c r="Q104" s="22" t="str">
        <f aca="false">IF(OR($G104="",Setup!$B$5=""),"",Setup!$B$5/$G104)</f>
        <v/>
      </c>
      <c r="R104" s="23" t="str">
        <f aca="false">IF(OR($E104="",$Q104=""),"",1-(1-$E104)^$Q104)</f>
        <v/>
      </c>
      <c r="S104" s="22" t="str">
        <f aca="false">IF(OR($R104="",$H104=""),"",$H104*$R104)</f>
        <v/>
      </c>
      <c r="T104" s="23" t="str">
        <f aca="false">IF(OR($E104="",$I104=""),"",MIN(1,MIN(N($F104),$E104)+($E104-MIN(N($F104),$E104))*(1-$I104)))</f>
        <v/>
      </c>
      <c r="U104" s="23" t="str">
        <f aca="false">IF(OR($T104="",$Q104=""),"",1-(1-$T104)^$Q104)</f>
        <v/>
      </c>
      <c r="V104" s="23" t="str">
        <f aca="false">IF($M104&lt;&gt;"",$M104,IF($G104="","",MAX(1,(Setup!$B$6/$G104)^Setup!$B$7)))</f>
        <v/>
      </c>
      <c r="W104" s="22" t="str">
        <f aca="false">IF(COUNT($J104:$L104)&lt;3,"",Setup!$B$10*(6-$J104)+Setup!$B$11*$K104+Setup!$B$12*$L104)</f>
        <v/>
      </c>
      <c r="X104" s="23" t="str">
        <f aca="false">IF($W104="","",IF(LEFT(Setup!$B$15,1)="B",EXP(Setup!$B$14*($W104-1)),1+Setup!$B$14*($W104-1)))</f>
        <v/>
      </c>
      <c r="Y104" s="23" t="str">
        <f aca="false">IF($N104&lt;&gt;"",$N104,$X104)</f>
        <v/>
      </c>
      <c r="Z104" s="22" t="str">
        <f aca="false">IF(OR($H104="",$U104="",$V104=""),"",$H104*$U104*$V104)</f>
        <v/>
      </c>
      <c r="AA104" s="22" t="str">
        <f aca="false">IF(OR($Z104="",$Y104=""),"",$Z104*$Y104)</f>
        <v/>
      </c>
      <c r="AB104" s="1" t="str">
        <f aca="false">IF($A104="","",IF(OR($E104="",$G104="",$H104="",$I104="",AND($N104="",COUNT($J104:$L104)&lt;3)),"Missing: "&amp;IF($E104="","P ","")&amp;IF($G104="","T ","")&amp;IF($H104="","I ","")&amp;IF($I104="","C ","")&amp;IF(AND($N104="",COUNT($J104:$L104)&lt;3),"C_ctrl/C_ext/C_irr",""),IF(N($F104)&gt;$E104,"P_floor &gt; P (floor capped at P)","OK")))</f>
        <v/>
      </c>
      <c r="AC104" s="1" t="str">
        <f aca="false">IF($AA104="","",$AA104+ROW()/1000000)</f>
        <v/>
      </c>
      <c r="AD104" s="18" t="n">
        <f aca="false">IF(AND($A104&lt;&gt;"",ISNUMBER($AA104)),1,0)</f>
        <v>0</v>
      </c>
      <c r="AE104" s="18" t="n">
        <f aca="false">IF($AD104=1,$H104,0)</f>
        <v>0</v>
      </c>
      <c r="AF104" s="18" t="n">
        <f aca="false">IF($AD104=1,$E104,0)</f>
        <v>0</v>
      </c>
      <c r="AG104" s="18" t="n">
        <f aca="false">IF($AD104=1,MIN(N($F104),$E104),0)</f>
        <v>0</v>
      </c>
      <c r="AH104" s="18" t="n">
        <f aca="false">IF($AD104=1,$I104,0)</f>
        <v>0</v>
      </c>
      <c r="AI104" s="18" t="n">
        <f aca="false">IF($AD104=1,$G104,1)</f>
        <v>1</v>
      </c>
      <c r="AJ104" s="18" t="n">
        <f aca="false">IF($AD104=1,$V104,1)</f>
        <v>1</v>
      </c>
      <c r="AK104" s="18" t="n">
        <f aca="false">IF($AD104=1,$Y104,1)</f>
        <v>1</v>
      </c>
    </row>
    <row r="105" customFormat="false" ht="15" hidden="false" customHeight="false" outlineLevel="0" collapsed="false">
      <c r="A105" s="10"/>
      <c r="B105" s="10"/>
      <c r="C105" s="12"/>
      <c r="D105" s="17"/>
      <c r="E105" s="13"/>
      <c r="F105" s="21"/>
      <c r="G105" s="12"/>
      <c r="H105" s="12"/>
      <c r="I105" s="12"/>
      <c r="J105" s="12"/>
      <c r="K105" s="12"/>
      <c r="L105" s="12"/>
      <c r="M105" s="15"/>
      <c r="N105" s="15"/>
      <c r="O105" s="12"/>
      <c r="P105" s="17"/>
      <c r="Q105" s="22" t="str">
        <f aca="false">IF(OR($G105="",Setup!$B$5=""),"",Setup!$B$5/$G105)</f>
        <v/>
      </c>
      <c r="R105" s="23" t="str">
        <f aca="false">IF(OR($E105="",$Q105=""),"",1-(1-$E105)^$Q105)</f>
        <v/>
      </c>
      <c r="S105" s="22" t="str">
        <f aca="false">IF(OR($R105="",$H105=""),"",$H105*$R105)</f>
        <v/>
      </c>
      <c r="T105" s="23" t="str">
        <f aca="false">IF(OR($E105="",$I105=""),"",MIN(1,MIN(N($F105),$E105)+($E105-MIN(N($F105),$E105))*(1-$I105)))</f>
        <v/>
      </c>
      <c r="U105" s="23" t="str">
        <f aca="false">IF(OR($T105="",$Q105=""),"",1-(1-$T105)^$Q105)</f>
        <v/>
      </c>
      <c r="V105" s="23" t="str">
        <f aca="false">IF($M105&lt;&gt;"",$M105,IF($G105="","",MAX(1,(Setup!$B$6/$G105)^Setup!$B$7)))</f>
        <v/>
      </c>
      <c r="W105" s="22" t="str">
        <f aca="false">IF(COUNT($J105:$L105)&lt;3,"",Setup!$B$10*(6-$J105)+Setup!$B$11*$K105+Setup!$B$12*$L105)</f>
        <v/>
      </c>
      <c r="X105" s="23" t="str">
        <f aca="false">IF($W105="","",IF(LEFT(Setup!$B$15,1)="B",EXP(Setup!$B$14*($W105-1)),1+Setup!$B$14*($W105-1)))</f>
        <v/>
      </c>
      <c r="Y105" s="23" t="str">
        <f aca="false">IF($N105&lt;&gt;"",$N105,$X105)</f>
        <v/>
      </c>
      <c r="Z105" s="22" t="str">
        <f aca="false">IF(OR($H105="",$U105="",$V105=""),"",$H105*$U105*$V105)</f>
        <v/>
      </c>
      <c r="AA105" s="22" t="str">
        <f aca="false">IF(OR($Z105="",$Y105=""),"",$Z105*$Y105)</f>
        <v/>
      </c>
      <c r="AB105" s="1" t="str">
        <f aca="false">IF($A105="","",IF(OR($E105="",$G105="",$H105="",$I105="",AND($N105="",COUNT($J105:$L105)&lt;3)),"Missing: "&amp;IF($E105="","P ","")&amp;IF($G105="","T ","")&amp;IF($H105="","I ","")&amp;IF($I105="","C ","")&amp;IF(AND($N105="",COUNT($J105:$L105)&lt;3),"C_ctrl/C_ext/C_irr",""),IF(N($F105)&gt;$E105,"P_floor &gt; P (floor capped at P)","OK")))</f>
        <v/>
      </c>
      <c r="AC105" s="1" t="str">
        <f aca="false">IF($AA105="","",$AA105+ROW()/1000000)</f>
        <v/>
      </c>
      <c r="AD105" s="18" t="n">
        <f aca="false">IF(AND($A105&lt;&gt;"",ISNUMBER($AA105)),1,0)</f>
        <v>0</v>
      </c>
      <c r="AE105" s="18" t="n">
        <f aca="false">IF($AD105=1,$H105,0)</f>
        <v>0</v>
      </c>
      <c r="AF105" s="18" t="n">
        <f aca="false">IF($AD105=1,$E105,0)</f>
        <v>0</v>
      </c>
      <c r="AG105" s="18" t="n">
        <f aca="false">IF($AD105=1,MIN(N($F105),$E105),0)</f>
        <v>0</v>
      </c>
      <c r="AH105" s="18" t="n">
        <f aca="false">IF($AD105=1,$I105,0)</f>
        <v>0</v>
      </c>
      <c r="AI105" s="18" t="n">
        <f aca="false">IF($AD105=1,$G105,1)</f>
        <v>1</v>
      </c>
      <c r="AJ105" s="18" t="n">
        <f aca="false">IF($AD105=1,$V105,1)</f>
        <v>1</v>
      </c>
      <c r="AK105" s="18" t="n">
        <f aca="false">IF($AD105=1,$Y105,1)</f>
        <v>1</v>
      </c>
    </row>
    <row r="106" customFormat="false" ht="15" hidden="false" customHeight="false" outlineLevel="0" collapsed="false">
      <c r="A106" s="10"/>
      <c r="B106" s="10"/>
      <c r="C106" s="12"/>
      <c r="D106" s="17"/>
      <c r="E106" s="13"/>
      <c r="F106" s="21"/>
      <c r="G106" s="12"/>
      <c r="H106" s="12"/>
      <c r="I106" s="12"/>
      <c r="J106" s="12"/>
      <c r="K106" s="12"/>
      <c r="L106" s="12"/>
      <c r="M106" s="15"/>
      <c r="N106" s="15"/>
      <c r="O106" s="12"/>
      <c r="P106" s="17"/>
      <c r="Q106" s="22" t="str">
        <f aca="false">IF(OR($G106="",Setup!$B$5=""),"",Setup!$B$5/$G106)</f>
        <v/>
      </c>
      <c r="R106" s="23" t="str">
        <f aca="false">IF(OR($E106="",$Q106=""),"",1-(1-$E106)^$Q106)</f>
        <v/>
      </c>
      <c r="S106" s="22" t="str">
        <f aca="false">IF(OR($R106="",$H106=""),"",$H106*$R106)</f>
        <v/>
      </c>
      <c r="T106" s="23" t="str">
        <f aca="false">IF(OR($E106="",$I106=""),"",MIN(1,MIN(N($F106),$E106)+($E106-MIN(N($F106),$E106))*(1-$I106)))</f>
        <v/>
      </c>
      <c r="U106" s="23" t="str">
        <f aca="false">IF(OR($T106="",$Q106=""),"",1-(1-$T106)^$Q106)</f>
        <v/>
      </c>
      <c r="V106" s="23" t="str">
        <f aca="false">IF($M106&lt;&gt;"",$M106,IF($G106="","",MAX(1,(Setup!$B$6/$G106)^Setup!$B$7)))</f>
        <v/>
      </c>
      <c r="W106" s="22" t="str">
        <f aca="false">IF(COUNT($J106:$L106)&lt;3,"",Setup!$B$10*(6-$J106)+Setup!$B$11*$K106+Setup!$B$12*$L106)</f>
        <v/>
      </c>
      <c r="X106" s="23" t="str">
        <f aca="false">IF($W106="","",IF(LEFT(Setup!$B$15,1)="B",EXP(Setup!$B$14*($W106-1)),1+Setup!$B$14*($W106-1)))</f>
        <v/>
      </c>
      <c r="Y106" s="23" t="str">
        <f aca="false">IF($N106&lt;&gt;"",$N106,$X106)</f>
        <v/>
      </c>
      <c r="Z106" s="22" t="str">
        <f aca="false">IF(OR($H106="",$U106="",$V106=""),"",$H106*$U106*$V106)</f>
        <v/>
      </c>
      <c r="AA106" s="22" t="str">
        <f aca="false">IF(OR($Z106="",$Y106=""),"",$Z106*$Y106)</f>
        <v/>
      </c>
      <c r="AB106" s="1" t="str">
        <f aca="false">IF($A106="","",IF(OR($E106="",$G106="",$H106="",$I106="",AND($N106="",COUNT($J106:$L106)&lt;3)),"Missing: "&amp;IF($E106="","P ","")&amp;IF($G106="","T ","")&amp;IF($H106="","I ","")&amp;IF($I106="","C ","")&amp;IF(AND($N106="",COUNT($J106:$L106)&lt;3),"C_ctrl/C_ext/C_irr",""),IF(N($F106)&gt;$E106,"P_floor &gt; P (floor capped at P)","OK")))</f>
        <v/>
      </c>
      <c r="AC106" s="1" t="str">
        <f aca="false">IF($AA106="","",$AA106+ROW()/1000000)</f>
        <v/>
      </c>
      <c r="AD106" s="18" t="n">
        <f aca="false">IF(AND($A106&lt;&gt;"",ISNUMBER($AA106)),1,0)</f>
        <v>0</v>
      </c>
      <c r="AE106" s="18" t="n">
        <f aca="false">IF($AD106=1,$H106,0)</f>
        <v>0</v>
      </c>
      <c r="AF106" s="18" t="n">
        <f aca="false">IF($AD106=1,$E106,0)</f>
        <v>0</v>
      </c>
      <c r="AG106" s="18" t="n">
        <f aca="false">IF($AD106=1,MIN(N($F106),$E106),0)</f>
        <v>0</v>
      </c>
      <c r="AH106" s="18" t="n">
        <f aca="false">IF($AD106=1,$I106,0)</f>
        <v>0</v>
      </c>
      <c r="AI106" s="18" t="n">
        <f aca="false">IF($AD106=1,$G106,1)</f>
        <v>1</v>
      </c>
      <c r="AJ106" s="18" t="n">
        <f aca="false">IF($AD106=1,$V106,1)</f>
        <v>1</v>
      </c>
      <c r="AK106" s="18" t="n">
        <f aca="false">IF($AD106=1,$Y106,1)</f>
        <v>1</v>
      </c>
    </row>
    <row r="107" customFormat="false" ht="15" hidden="false" customHeight="false" outlineLevel="0" collapsed="false">
      <c r="A107" s="10"/>
      <c r="B107" s="10"/>
      <c r="C107" s="12"/>
      <c r="D107" s="17"/>
      <c r="E107" s="13"/>
      <c r="F107" s="21"/>
      <c r="G107" s="12"/>
      <c r="H107" s="12"/>
      <c r="I107" s="12"/>
      <c r="J107" s="12"/>
      <c r="K107" s="12"/>
      <c r="L107" s="12"/>
      <c r="M107" s="15"/>
      <c r="N107" s="15"/>
      <c r="O107" s="12"/>
      <c r="P107" s="17"/>
      <c r="Q107" s="22" t="str">
        <f aca="false">IF(OR($G107="",Setup!$B$5=""),"",Setup!$B$5/$G107)</f>
        <v/>
      </c>
      <c r="R107" s="23" t="str">
        <f aca="false">IF(OR($E107="",$Q107=""),"",1-(1-$E107)^$Q107)</f>
        <v/>
      </c>
      <c r="S107" s="22" t="str">
        <f aca="false">IF(OR($R107="",$H107=""),"",$H107*$R107)</f>
        <v/>
      </c>
      <c r="T107" s="23" t="str">
        <f aca="false">IF(OR($E107="",$I107=""),"",MIN(1,MIN(N($F107),$E107)+($E107-MIN(N($F107),$E107))*(1-$I107)))</f>
        <v/>
      </c>
      <c r="U107" s="23" t="str">
        <f aca="false">IF(OR($T107="",$Q107=""),"",1-(1-$T107)^$Q107)</f>
        <v/>
      </c>
      <c r="V107" s="23" t="str">
        <f aca="false">IF($M107&lt;&gt;"",$M107,IF($G107="","",MAX(1,(Setup!$B$6/$G107)^Setup!$B$7)))</f>
        <v/>
      </c>
      <c r="W107" s="22" t="str">
        <f aca="false">IF(COUNT($J107:$L107)&lt;3,"",Setup!$B$10*(6-$J107)+Setup!$B$11*$K107+Setup!$B$12*$L107)</f>
        <v/>
      </c>
      <c r="X107" s="23" t="str">
        <f aca="false">IF($W107="","",IF(LEFT(Setup!$B$15,1)="B",EXP(Setup!$B$14*($W107-1)),1+Setup!$B$14*($W107-1)))</f>
        <v/>
      </c>
      <c r="Y107" s="23" t="str">
        <f aca="false">IF($N107&lt;&gt;"",$N107,$X107)</f>
        <v/>
      </c>
      <c r="Z107" s="22" t="str">
        <f aca="false">IF(OR($H107="",$U107="",$V107=""),"",$H107*$U107*$V107)</f>
        <v/>
      </c>
      <c r="AA107" s="22" t="str">
        <f aca="false">IF(OR($Z107="",$Y107=""),"",$Z107*$Y107)</f>
        <v/>
      </c>
      <c r="AB107" s="1" t="str">
        <f aca="false">IF($A107="","",IF(OR($E107="",$G107="",$H107="",$I107="",AND($N107="",COUNT($J107:$L107)&lt;3)),"Missing: "&amp;IF($E107="","P ","")&amp;IF($G107="","T ","")&amp;IF($H107="","I ","")&amp;IF($I107="","C ","")&amp;IF(AND($N107="",COUNT($J107:$L107)&lt;3),"C_ctrl/C_ext/C_irr",""),IF(N($F107)&gt;$E107,"P_floor &gt; P (floor capped at P)","OK")))</f>
        <v/>
      </c>
      <c r="AC107" s="1" t="str">
        <f aca="false">IF($AA107="","",$AA107+ROW()/1000000)</f>
        <v/>
      </c>
      <c r="AD107" s="18" t="n">
        <f aca="false">IF(AND($A107&lt;&gt;"",ISNUMBER($AA107)),1,0)</f>
        <v>0</v>
      </c>
      <c r="AE107" s="18" t="n">
        <f aca="false">IF($AD107=1,$H107,0)</f>
        <v>0</v>
      </c>
      <c r="AF107" s="18" t="n">
        <f aca="false">IF($AD107=1,$E107,0)</f>
        <v>0</v>
      </c>
      <c r="AG107" s="18" t="n">
        <f aca="false">IF($AD107=1,MIN(N($F107),$E107),0)</f>
        <v>0</v>
      </c>
      <c r="AH107" s="18" t="n">
        <f aca="false">IF($AD107=1,$I107,0)</f>
        <v>0</v>
      </c>
      <c r="AI107" s="18" t="n">
        <f aca="false">IF($AD107=1,$G107,1)</f>
        <v>1</v>
      </c>
      <c r="AJ107" s="18" t="n">
        <f aca="false">IF($AD107=1,$V107,1)</f>
        <v>1</v>
      </c>
      <c r="AK107" s="18" t="n">
        <f aca="false">IF($AD107=1,$Y107,1)</f>
        <v>1</v>
      </c>
    </row>
    <row r="108" customFormat="false" ht="15" hidden="false" customHeight="false" outlineLevel="0" collapsed="false">
      <c r="A108" s="10"/>
      <c r="B108" s="10"/>
      <c r="C108" s="12"/>
      <c r="D108" s="17"/>
      <c r="E108" s="13"/>
      <c r="F108" s="21"/>
      <c r="G108" s="12"/>
      <c r="H108" s="12"/>
      <c r="I108" s="12"/>
      <c r="J108" s="12"/>
      <c r="K108" s="12"/>
      <c r="L108" s="12"/>
      <c r="M108" s="15"/>
      <c r="N108" s="15"/>
      <c r="O108" s="12"/>
      <c r="P108" s="17"/>
      <c r="Q108" s="22" t="str">
        <f aca="false">IF(OR($G108="",Setup!$B$5=""),"",Setup!$B$5/$G108)</f>
        <v/>
      </c>
      <c r="R108" s="23" t="str">
        <f aca="false">IF(OR($E108="",$Q108=""),"",1-(1-$E108)^$Q108)</f>
        <v/>
      </c>
      <c r="S108" s="22" t="str">
        <f aca="false">IF(OR($R108="",$H108=""),"",$H108*$R108)</f>
        <v/>
      </c>
      <c r="T108" s="23" t="str">
        <f aca="false">IF(OR($E108="",$I108=""),"",MIN(1,MIN(N($F108),$E108)+($E108-MIN(N($F108),$E108))*(1-$I108)))</f>
        <v/>
      </c>
      <c r="U108" s="23" t="str">
        <f aca="false">IF(OR($T108="",$Q108=""),"",1-(1-$T108)^$Q108)</f>
        <v/>
      </c>
      <c r="V108" s="23" t="str">
        <f aca="false">IF($M108&lt;&gt;"",$M108,IF($G108="","",MAX(1,(Setup!$B$6/$G108)^Setup!$B$7)))</f>
        <v/>
      </c>
      <c r="W108" s="22" t="str">
        <f aca="false">IF(COUNT($J108:$L108)&lt;3,"",Setup!$B$10*(6-$J108)+Setup!$B$11*$K108+Setup!$B$12*$L108)</f>
        <v/>
      </c>
      <c r="X108" s="23" t="str">
        <f aca="false">IF($W108="","",IF(LEFT(Setup!$B$15,1)="B",EXP(Setup!$B$14*($W108-1)),1+Setup!$B$14*($W108-1)))</f>
        <v/>
      </c>
      <c r="Y108" s="23" t="str">
        <f aca="false">IF($N108&lt;&gt;"",$N108,$X108)</f>
        <v/>
      </c>
      <c r="Z108" s="22" t="str">
        <f aca="false">IF(OR($H108="",$U108="",$V108=""),"",$H108*$U108*$V108)</f>
        <v/>
      </c>
      <c r="AA108" s="22" t="str">
        <f aca="false">IF(OR($Z108="",$Y108=""),"",$Z108*$Y108)</f>
        <v/>
      </c>
      <c r="AB108" s="1" t="str">
        <f aca="false">IF($A108="","",IF(OR($E108="",$G108="",$H108="",$I108="",AND($N108="",COUNT($J108:$L108)&lt;3)),"Missing: "&amp;IF($E108="","P ","")&amp;IF($G108="","T ","")&amp;IF($H108="","I ","")&amp;IF($I108="","C ","")&amp;IF(AND($N108="",COUNT($J108:$L108)&lt;3),"C_ctrl/C_ext/C_irr",""),IF(N($F108)&gt;$E108,"P_floor &gt; P (floor capped at P)","OK")))</f>
        <v/>
      </c>
      <c r="AC108" s="1" t="str">
        <f aca="false">IF($AA108="","",$AA108+ROW()/1000000)</f>
        <v/>
      </c>
      <c r="AD108" s="18" t="n">
        <f aca="false">IF(AND($A108&lt;&gt;"",ISNUMBER($AA108)),1,0)</f>
        <v>0</v>
      </c>
      <c r="AE108" s="18" t="n">
        <f aca="false">IF($AD108=1,$H108,0)</f>
        <v>0</v>
      </c>
      <c r="AF108" s="18" t="n">
        <f aca="false">IF($AD108=1,$E108,0)</f>
        <v>0</v>
      </c>
      <c r="AG108" s="18" t="n">
        <f aca="false">IF($AD108=1,MIN(N($F108),$E108),0)</f>
        <v>0</v>
      </c>
      <c r="AH108" s="18" t="n">
        <f aca="false">IF($AD108=1,$I108,0)</f>
        <v>0</v>
      </c>
      <c r="AI108" s="18" t="n">
        <f aca="false">IF($AD108=1,$G108,1)</f>
        <v>1</v>
      </c>
      <c r="AJ108" s="18" t="n">
        <f aca="false">IF($AD108=1,$V108,1)</f>
        <v>1</v>
      </c>
      <c r="AK108" s="18" t="n">
        <f aca="false">IF($AD108=1,$Y108,1)</f>
        <v>1</v>
      </c>
    </row>
    <row r="109" customFormat="false" ht="15" hidden="false" customHeight="false" outlineLevel="0" collapsed="false">
      <c r="A109" s="10"/>
      <c r="B109" s="10"/>
      <c r="C109" s="12"/>
      <c r="D109" s="17"/>
      <c r="E109" s="13"/>
      <c r="F109" s="21"/>
      <c r="G109" s="12"/>
      <c r="H109" s="12"/>
      <c r="I109" s="12"/>
      <c r="J109" s="12"/>
      <c r="K109" s="12"/>
      <c r="L109" s="12"/>
      <c r="M109" s="15"/>
      <c r="N109" s="15"/>
      <c r="O109" s="12"/>
      <c r="P109" s="17"/>
      <c r="Q109" s="22" t="str">
        <f aca="false">IF(OR($G109="",Setup!$B$5=""),"",Setup!$B$5/$G109)</f>
        <v/>
      </c>
      <c r="R109" s="23" t="str">
        <f aca="false">IF(OR($E109="",$Q109=""),"",1-(1-$E109)^$Q109)</f>
        <v/>
      </c>
      <c r="S109" s="22" t="str">
        <f aca="false">IF(OR($R109="",$H109=""),"",$H109*$R109)</f>
        <v/>
      </c>
      <c r="T109" s="23" t="str">
        <f aca="false">IF(OR($E109="",$I109=""),"",MIN(1,MIN(N($F109),$E109)+($E109-MIN(N($F109),$E109))*(1-$I109)))</f>
        <v/>
      </c>
      <c r="U109" s="23" t="str">
        <f aca="false">IF(OR($T109="",$Q109=""),"",1-(1-$T109)^$Q109)</f>
        <v/>
      </c>
      <c r="V109" s="23" t="str">
        <f aca="false">IF($M109&lt;&gt;"",$M109,IF($G109="","",MAX(1,(Setup!$B$6/$G109)^Setup!$B$7)))</f>
        <v/>
      </c>
      <c r="W109" s="22" t="str">
        <f aca="false">IF(COUNT($J109:$L109)&lt;3,"",Setup!$B$10*(6-$J109)+Setup!$B$11*$K109+Setup!$B$12*$L109)</f>
        <v/>
      </c>
      <c r="X109" s="23" t="str">
        <f aca="false">IF($W109="","",IF(LEFT(Setup!$B$15,1)="B",EXP(Setup!$B$14*($W109-1)),1+Setup!$B$14*($W109-1)))</f>
        <v/>
      </c>
      <c r="Y109" s="23" t="str">
        <f aca="false">IF($N109&lt;&gt;"",$N109,$X109)</f>
        <v/>
      </c>
      <c r="Z109" s="22" t="str">
        <f aca="false">IF(OR($H109="",$U109="",$V109=""),"",$H109*$U109*$V109)</f>
        <v/>
      </c>
      <c r="AA109" s="22" t="str">
        <f aca="false">IF(OR($Z109="",$Y109=""),"",$Z109*$Y109)</f>
        <v/>
      </c>
      <c r="AB109" s="1" t="str">
        <f aca="false">IF($A109="","",IF(OR($E109="",$G109="",$H109="",$I109="",AND($N109="",COUNT($J109:$L109)&lt;3)),"Missing: "&amp;IF($E109="","P ","")&amp;IF($G109="","T ","")&amp;IF($H109="","I ","")&amp;IF($I109="","C ","")&amp;IF(AND($N109="",COUNT($J109:$L109)&lt;3),"C_ctrl/C_ext/C_irr",""),IF(N($F109)&gt;$E109,"P_floor &gt; P (floor capped at P)","OK")))</f>
        <v/>
      </c>
      <c r="AC109" s="1" t="str">
        <f aca="false">IF($AA109="","",$AA109+ROW()/1000000)</f>
        <v/>
      </c>
      <c r="AD109" s="18" t="n">
        <f aca="false">IF(AND($A109&lt;&gt;"",ISNUMBER($AA109)),1,0)</f>
        <v>0</v>
      </c>
      <c r="AE109" s="18" t="n">
        <f aca="false">IF($AD109=1,$H109,0)</f>
        <v>0</v>
      </c>
      <c r="AF109" s="18" t="n">
        <f aca="false">IF($AD109=1,$E109,0)</f>
        <v>0</v>
      </c>
      <c r="AG109" s="18" t="n">
        <f aca="false">IF($AD109=1,MIN(N($F109),$E109),0)</f>
        <v>0</v>
      </c>
      <c r="AH109" s="18" t="n">
        <f aca="false">IF($AD109=1,$I109,0)</f>
        <v>0</v>
      </c>
      <c r="AI109" s="18" t="n">
        <f aca="false">IF($AD109=1,$G109,1)</f>
        <v>1</v>
      </c>
      <c r="AJ109" s="18" t="n">
        <f aca="false">IF($AD109=1,$V109,1)</f>
        <v>1</v>
      </c>
      <c r="AK109" s="18" t="n">
        <f aca="false">IF($AD109=1,$Y109,1)</f>
        <v>1</v>
      </c>
    </row>
    <row r="110" customFormat="false" ht="15" hidden="false" customHeight="false" outlineLevel="0" collapsed="false">
      <c r="A110" s="10"/>
      <c r="B110" s="10"/>
      <c r="C110" s="12"/>
      <c r="D110" s="17"/>
      <c r="E110" s="13"/>
      <c r="F110" s="21"/>
      <c r="G110" s="12"/>
      <c r="H110" s="12"/>
      <c r="I110" s="12"/>
      <c r="J110" s="12"/>
      <c r="K110" s="12"/>
      <c r="L110" s="12"/>
      <c r="M110" s="15"/>
      <c r="N110" s="15"/>
      <c r="O110" s="12"/>
      <c r="P110" s="17"/>
      <c r="Q110" s="22" t="str">
        <f aca="false">IF(OR($G110="",Setup!$B$5=""),"",Setup!$B$5/$G110)</f>
        <v/>
      </c>
      <c r="R110" s="23" t="str">
        <f aca="false">IF(OR($E110="",$Q110=""),"",1-(1-$E110)^$Q110)</f>
        <v/>
      </c>
      <c r="S110" s="22" t="str">
        <f aca="false">IF(OR($R110="",$H110=""),"",$H110*$R110)</f>
        <v/>
      </c>
      <c r="T110" s="23" t="str">
        <f aca="false">IF(OR($E110="",$I110=""),"",MIN(1,MIN(N($F110),$E110)+($E110-MIN(N($F110),$E110))*(1-$I110)))</f>
        <v/>
      </c>
      <c r="U110" s="23" t="str">
        <f aca="false">IF(OR($T110="",$Q110=""),"",1-(1-$T110)^$Q110)</f>
        <v/>
      </c>
      <c r="V110" s="23" t="str">
        <f aca="false">IF($M110&lt;&gt;"",$M110,IF($G110="","",MAX(1,(Setup!$B$6/$G110)^Setup!$B$7)))</f>
        <v/>
      </c>
      <c r="W110" s="22" t="str">
        <f aca="false">IF(COUNT($J110:$L110)&lt;3,"",Setup!$B$10*(6-$J110)+Setup!$B$11*$K110+Setup!$B$12*$L110)</f>
        <v/>
      </c>
      <c r="X110" s="23" t="str">
        <f aca="false">IF($W110="","",IF(LEFT(Setup!$B$15,1)="B",EXP(Setup!$B$14*($W110-1)),1+Setup!$B$14*($W110-1)))</f>
        <v/>
      </c>
      <c r="Y110" s="23" t="str">
        <f aca="false">IF($N110&lt;&gt;"",$N110,$X110)</f>
        <v/>
      </c>
      <c r="Z110" s="22" t="str">
        <f aca="false">IF(OR($H110="",$U110="",$V110=""),"",$H110*$U110*$V110)</f>
        <v/>
      </c>
      <c r="AA110" s="22" t="str">
        <f aca="false">IF(OR($Z110="",$Y110=""),"",$Z110*$Y110)</f>
        <v/>
      </c>
      <c r="AB110" s="1" t="str">
        <f aca="false">IF($A110="","",IF(OR($E110="",$G110="",$H110="",$I110="",AND($N110="",COUNT($J110:$L110)&lt;3)),"Missing: "&amp;IF($E110="","P ","")&amp;IF($G110="","T ","")&amp;IF($H110="","I ","")&amp;IF($I110="","C ","")&amp;IF(AND($N110="",COUNT($J110:$L110)&lt;3),"C_ctrl/C_ext/C_irr",""),IF(N($F110)&gt;$E110,"P_floor &gt; P (floor capped at P)","OK")))</f>
        <v/>
      </c>
      <c r="AC110" s="1" t="str">
        <f aca="false">IF($AA110="","",$AA110+ROW()/1000000)</f>
        <v/>
      </c>
      <c r="AD110" s="18" t="n">
        <f aca="false">IF(AND($A110&lt;&gt;"",ISNUMBER($AA110)),1,0)</f>
        <v>0</v>
      </c>
      <c r="AE110" s="18" t="n">
        <f aca="false">IF($AD110=1,$H110,0)</f>
        <v>0</v>
      </c>
      <c r="AF110" s="18" t="n">
        <f aca="false">IF($AD110=1,$E110,0)</f>
        <v>0</v>
      </c>
      <c r="AG110" s="18" t="n">
        <f aca="false">IF($AD110=1,MIN(N($F110),$E110),0)</f>
        <v>0</v>
      </c>
      <c r="AH110" s="18" t="n">
        <f aca="false">IF($AD110=1,$I110,0)</f>
        <v>0</v>
      </c>
      <c r="AI110" s="18" t="n">
        <f aca="false">IF($AD110=1,$G110,1)</f>
        <v>1</v>
      </c>
      <c r="AJ110" s="18" t="n">
        <f aca="false">IF($AD110=1,$V110,1)</f>
        <v>1</v>
      </c>
      <c r="AK110" s="18" t="n">
        <f aca="false">IF($AD110=1,$Y110,1)</f>
        <v>1</v>
      </c>
    </row>
    <row r="111" customFormat="false" ht="15" hidden="false" customHeight="false" outlineLevel="0" collapsed="false">
      <c r="A111" s="10"/>
      <c r="B111" s="10"/>
      <c r="C111" s="12"/>
      <c r="D111" s="17"/>
      <c r="E111" s="13"/>
      <c r="F111" s="21"/>
      <c r="G111" s="12"/>
      <c r="H111" s="12"/>
      <c r="I111" s="12"/>
      <c r="J111" s="12"/>
      <c r="K111" s="12"/>
      <c r="L111" s="12"/>
      <c r="M111" s="15"/>
      <c r="N111" s="15"/>
      <c r="O111" s="12"/>
      <c r="P111" s="17"/>
      <c r="Q111" s="22" t="str">
        <f aca="false">IF(OR($G111="",Setup!$B$5=""),"",Setup!$B$5/$G111)</f>
        <v/>
      </c>
      <c r="R111" s="23" t="str">
        <f aca="false">IF(OR($E111="",$Q111=""),"",1-(1-$E111)^$Q111)</f>
        <v/>
      </c>
      <c r="S111" s="22" t="str">
        <f aca="false">IF(OR($R111="",$H111=""),"",$H111*$R111)</f>
        <v/>
      </c>
      <c r="T111" s="23" t="str">
        <f aca="false">IF(OR($E111="",$I111=""),"",MIN(1,MIN(N($F111),$E111)+($E111-MIN(N($F111),$E111))*(1-$I111)))</f>
        <v/>
      </c>
      <c r="U111" s="23" t="str">
        <f aca="false">IF(OR($T111="",$Q111=""),"",1-(1-$T111)^$Q111)</f>
        <v/>
      </c>
      <c r="V111" s="23" t="str">
        <f aca="false">IF($M111&lt;&gt;"",$M111,IF($G111="","",MAX(1,(Setup!$B$6/$G111)^Setup!$B$7)))</f>
        <v/>
      </c>
      <c r="W111" s="22" t="str">
        <f aca="false">IF(COUNT($J111:$L111)&lt;3,"",Setup!$B$10*(6-$J111)+Setup!$B$11*$K111+Setup!$B$12*$L111)</f>
        <v/>
      </c>
      <c r="X111" s="23" t="str">
        <f aca="false">IF($W111="","",IF(LEFT(Setup!$B$15,1)="B",EXP(Setup!$B$14*($W111-1)),1+Setup!$B$14*($W111-1)))</f>
        <v/>
      </c>
      <c r="Y111" s="23" t="str">
        <f aca="false">IF($N111&lt;&gt;"",$N111,$X111)</f>
        <v/>
      </c>
      <c r="Z111" s="22" t="str">
        <f aca="false">IF(OR($H111="",$U111="",$V111=""),"",$H111*$U111*$V111)</f>
        <v/>
      </c>
      <c r="AA111" s="22" t="str">
        <f aca="false">IF(OR($Z111="",$Y111=""),"",$Z111*$Y111)</f>
        <v/>
      </c>
      <c r="AB111" s="1" t="str">
        <f aca="false">IF($A111="","",IF(OR($E111="",$G111="",$H111="",$I111="",AND($N111="",COUNT($J111:$L111)&lt;3)),"Missing: "&amp;IF($E111="","P ","")&amp;IF($G111="","T ","")&amp;IF($H111="","I ","")&amp;IF($I111="","C ","")&amp;IF(AND($N111="",COUNT($J111:$L111)&lt;3),"C_ctrl/C_ext/C_irr",""),IF(N($F111)&gt;$E111,"P_floor &gt; P (floor capped at P)","OK")))</f>
        <v/>
      </c>
      <c r="AC111" s="1" t="str">
        <f aca="false">IF($AA111="","",$AA111+ROW()/1000000)</f>
        <v/>
      </c>
      <c r="AD111" s="18" t="n">
        <f aca="false">IF(AND($A111&lt;&gt;"",ISNUMBER($AA111)),1,0)</f>
        <v>0</v>
      </c>
      <c r="AE111" s="18" t="n">
        <f aca="false">IF($AD111=1,$H111,0)</f>
        <v>0</v>
      </c>
      <c r="AF111" s="18" t="n">
        <f aca="false">IF($AD111=1,$E111,0)</f>
        <v>0</v>
      </c>
      <c r="AG111" s="18" t="n">
        <f aca="false">IF($AD111=1,MIN(N($F111),$E111),0)</f>
        <v>0</v>
      </c>
      <c r="AH111" s="18" t="n">
        <f aca="false">IF($AD111=1,$I111,0)</f>
        <v>0</v>
      </c>
      <c r="AI111" s="18" t="n">
        <f aca="false">IF($AD111=1,$G111,1)</f>
        <v>1</v>
      </c>
      <c r="AJ111" s="18" t="n">
        <f aca="false">IF($AD111=1,$V111,1)</f>
        <v>1</v>
      </c>
      <c r="AK111" s="18" t="n">
        <f aca="false">IF($AD111=1,$Y111,1)</f>
        <v>1</v>
      </c>
    </row>
    <row r="112" customFormat="false" ht="15" hidden="false" customHeight="false" outlineLevel="0" collapsed="false">
      <c r="A112" s="10"/>
      <c r="B112" s="10"/>
      <c r="C112" s="12"/>
      <c r="D112" s="17"/>
      <c r="E112" s="13"/>
      <c r="F112" s="21"/>
      <c r="G112" s="12"/>
      <c r="H112" s="12"/>
      <c r="I112" s="12"/>
      <c r="J112" s="12"/>
      <c r="K112" s="12"/>
      <c r="L112" s="12"/>
      <c r="M112" s="15"/>
      <c r="N112" s="15"/>
      <c r="O112" s="12"/>
      <c r="P112" s="17"/>
      <c r="Q112" s="22" t="str">
        <f aca="false">IF(OR($G112="",Setup!$B$5=""),"",Setup!$B$5/$G112)</f>
        <v/>
      </c>
      <c r="R112" s="23" t="str">
        <f aca="false">IF(OR($E112="",$Q112=""),"",1-(1-$E112)^$Q112)</f>
        <v/>
      </c>
      <c r="S112" s="22" t="str">
        <f aca="false">IF(OR($R112="",$H112=""),"",$H112*$R112)</f>
        <v/>
      </c>
      <c r="T112" s="23" t="str">
        <f aca="false">IF(OR($E112="",$I112=""),"",MIN(1,MIN(N($F112),$E112)+($E112-MIN(N($F112),$E112))*(1-$I112)))</f>
        <v/>
      </c>
      <c r="U112" s="23" t="str">
        <f aca="false">IF(OR($T112="",$Q112=""),"",1-(1-$T112)^$Q112)</f>
        <v/>
      </c>
      <c r="V112" s="23" t="str">
        <f aca="false">IF($M112&lt;&gt;"",$M112,IF($G112="","",MAX(1,(Setup!$B$6/$G112)^Setup!$B$7)))</f>
        <v/>
      </c>
      <c r="W112" s="22" t="str">
        <f aca="false">IF(COUNT($J112:$L112)&lt;3,"",Setup!$B$10*(6-$J112)+Setup!$B$11*$K112+Setup!$B$12*$L112)</f>
        <v/>
      </c>
      <c r="X112" s="23" t="str">
        <f aca="false">IF($W112="","",IF(LEFT(Setup!$B$15,1)="B",EXP(Setup!$B$14*($W112-1)),1+Setup!$B$14*($W112-1)))</f>
        <v/>
      </c>
      <c r="Y112" s="23" t="str">
        <f aca="false">IF($N112&lt;&gt;"",$N112,$X112)</f>
        <v/>
      </c>
      <c r="Z112" s="22" t="str">
        <f aca="false">IF(OR($H112="",$U112="",$V112=""),"",$H112*$U112*$V112)</f>
        <v/>
      </c>
      <c r="AA112" s="22" t="str">
        <f aca="false">IF(OR($Z112="",$Y112=""),"",$Z112*$Y112)</f>
        <v/>
      </c>
      <c r="AB112" s="1" t="str">
        <f aca="false">IF($A112="","",IF(OR($E112="",$G112="",$H112="",$I112="",AND($N112="",COUNT($J112:$L112)&lt;3)),"Missing: "&amp;IF($E112="","P ","")&amp;IF($G112="","T ","")&amp;IF($H112="","I ","")&amp;IF($I112="","C ","")&amp;IF(AND($N112="",COUNT($J112:$L112)&lt;3),"C_ctrl/C_ext/C_irr",""),IF(N($F112)&gt;$E112,"P_floor &gt; P (floor capped at P)","OK")))</f>
        <v/>
      </c>
      <c r="AC112" s="1" t="str">
        <f aca="false">IF($AA112="","",$AA112+ROW()/1000000)</f>
        <v/>
      </c>
      <c r="AD112" s="18" t="n">
        <f aca="false">IF(AND($A112&lt;&gt;"",ISNUMBER($AA112)),1,0)</f>
        <v>0</v>
      </c>
      <c r="AE112" s="18" t="n">
        <f aca="false">IF($AD112=1,$H112,0)</f>
        <v>0</v>
      </c>
      <c r="AF112" s="18" t="n">
        <f aca="false">IF($AD112=1,$E112,0)</f>
        <v>0</v>
      </c>
      <c r="AG112" s="18" t="n">
        <f aca="false">IF($AD112=1,MIN(N($F112),$E112),0)</f>
        <v>0</v>
      </c>
      <c r="AH112" s="18" t="n">
        <f aca="false">IF($AD112=1,$I112,0)</f>
        <v>0</v>
      </c>
      <c r="AI112" s="18" t="n">
        <f aca="false">IF($AD112=1,$G112,1)</f>
        <v>1</v>
      </c>
      <c r="AJ112" s="18" t="n">
        <f aca="false">IF($AD112=1,$V112,1)</f>
        <v>1</v>
      </c>
      <c r="AK112" s="18" t="n">
        <f aca="false">IF($AD112=1,$Y112,1)</f>
        <v>1</v>
      </c>
    </row>
    <row r="113" customFormat="false" ht="15" hidden="false" customHeight="false" outlineLevel="0" collapsed="false">
      <c r="A113" s="10"/>
      <c r="B113" s="10"/>
      <c r="C113" s="12"/>
      <c r="D113" s="17"/>
      <c r="E113" s="13"/>
      <c r="F113" s="21"/>
      <c r="G113" s="12"/>
      <c r="H113" s="12"/>
      <c r="I113" s="12"/>
      <c r="J113" s="12"/>
      <c r="K113" s="12"/>
      <c r="L113" s="12"/>
      <c r="M113" s="15"/>
      <c r="N113" s="15"/>
      <c r="O113" s="12"/>
      <c r="P113" s="17"/>
      <c r="Q113" s="22" t="str">
        <f aca="false">IF(OR($G113="",Setup!$B$5=""),"",Setup!$B$5/$G113)</f>
        <v/>
      </c>
      <c r="R113" s="23" t="str">
        <f aca="false">IF(OR($E113="",$Q113=""),"",1-(1-$E113)^$Q113)</f>
        <v/>
      </c>
      <c r="S113" s="22" t="str">
        <f aca="false">IF(OR($R113="",$H113=""),"",$H113*$R113)</f>
        <v/>
      </c>
      <c r="T113" s="23" t="str">
        <f aca="false">IF(OR($E113="",$I113=""),"",MIN(1,MIN(N($F113),$E113)+($E113-MIN(N($F113),$E113))*(1-$I113)))</f>
        <v/>
      </c>
      <c r="U113" s="23" t="str">
        <f aca="false">IF(OR($T113="",$Q113=""),"",1-(1-$T113)^$Q113)</f>
        <v/>
      </c>
      <c r="V113" s="23" t="str">
        <f aca="false">IF($M113&lt;&gt;"",$M113,IF($G113="","",MAX(1,(Setup!$B$6/$G113)^Setup!$B$7)))</f>
        <v/>
      </c>
      <c r="W113" s="22" t="str">
        <f aca="false">IF(COUNT($J113:$L113)&lt;3,"",Setup!$B$10*(6-$J113)+Setup!$B$11*$K113+Setup!$B$12*$L113)</f>
        <v/>
      </c>
      <c r="X113" s="23" t="str">
        <f aca="false">IF($W113="","",IF(LEFT(Setup!$B$15,1)="B",EXP(Setup!$B$14*($W113-1)),1+Setup!$B$14*($W113-1)))</f>
        <v/>
      </c>
      <c r="Y113" s="23" t="str">
        <f aca="false">IF($N113&lt;&gt;"",$N113,$X113)</f>
        <v/>
      </c>
      <c r="Z113" s="22" t="str">
        <f aca="false">IF(OR($H113="",$U113="",$V113=""),"",$H113*$U113*$V113)</f>
        <v/>
      </c>
      <c r="AA113" s="22" t="str">
        <f aca="false">IF(OR($Z113="",$Y113=""),"",$Z113*$Y113)</f>
        <v/>
      </c>
      <c r="AB113" s="1" t="str">
        <f aca="false">IF($A113="","",IF(OR($E113="",$G113="",$H113="",$I113="",AND($N113="",COUNT($J113:$L113)&lt;3)),"Missing: "&amp;IF($E113="","P ","")&amp;IF($G113="","T ","")&amp;IF($H113="","I ","")&amp;IF($I113="","C ","")&amp;IF(AND($N113="",COUNT($J113:$L113)&lt;3),"C_ctrl/C_ext/C_irr",""),IF(N($F113)&gt;$E113,"P_floor &gt; P (floor capped at P)","OK")))</f>
        <v/>
      </c>
      <c r="AC113" s="1" t="str">
        <f aca="false">IF($AA113="","",$AA113+ROW()/1000000)</f>
        <v/>
      </c>
      <c r="AD113" s="18" t="n">
        <f aca="false">IF(AND($A113&lt;&gt;"",ISNUMBER($AA113)),1,0)</f>
        <v>0</v>
      </c>
      <c r="AE113" s="18" t="n">
        <f aca="false">IF($AD113=1,$H113,0)</f>
        <v>0</v>
      </c>
      <c r="AF113" s="18" t="n">
        <f aca="false">IF($AD113=1,$E113,0)</f>
        <v>0</v>
      </c>
      <c r="AG113" s="18" t="n">
        <f aca="false">IF($AD113=1,MIN(N($F113),$E113),0)</f>
        <v>0</v>
      </c>
      <c r="AH113" s="18" t="n">
        <f aca="false">IF($AD113=1,$I113,0)</f>
        <v>0</v>
      </c>
      <c r="AI113" s="18" t="n">
        <f aca="false">IF($AD113=1,$G113,1)</f>
        <v>1</v>
      </c>
      <c r="AJ113" s="18" t="n">
        <f aca="false">IF($AD113=1,$V113,1)</f>
        <v>1</v>
      </c>
      <c r="AK113" s="18" t="n">
        <f aca="false">IF($AD113=1,$Y113,1)</f>
        <v>1</v>
      </c>
    </row>
    <row r="114" customFormat="false" ht="15" hidden="false" customHeight="false" outlineLevel="0" collapsed="false">
      <c r="A114" s="10"/>
      <c r="B114" s="10"/>
      <c r="C114" s="12"/>
      <c r="D114" s="17"/>
      <c r="E114" s="13"/>
      <c r="F114" s="21"/>
      <c r="G114" s="12"/>
      <c r="H114" s="12"/>
      <c r="I114" s="12"/>
      <c r="J114" s="12"/>
      <c r="K114" s="12"/>
      <c r="L114" s="12"/>
      <c r="M114" s="15"/>
      <c r="N114" s="15"/>
      <c r="O114" s="12"/>
      <c r="P114" s="17"/>
      <c r="Q114" s="22" t="str">
        <f aca="false">IF(OR($G114="",Setup!$B$5=""),"",Setup!$B$5/$G114)</f>
        <v/>
      </c>
      <c r="R114" s="23" t="str">
        <f aca="false">IF(OR($E114="",$Q114=""),"",1-(1-$E114)^$Q114)</f>
        <v/>
      </c>
      <c r="S114" s="22" t="str">
        <f aca="false">IF(OR($R114="",$H114=""),"",$H114*$R114)</f>
        <v/>
      </c>
      <c r="T114" s="23" t="str">
        <f aca="false">IF(OR($E114="",$I114=""),"",MIN(1,MIN(N($F114),$E114)+($E114-MIN(N($F114),$E114))*(1-$I114)))</f>
        <v/>
      </c>
      <c r="U114" s="23" t="str">
        <f aca="false">IF(OR($T114="",$Q114=""),"",1-(1-$T114)^$Q114)</f>
        <v/>
      </c>
      <c r="V114" s="23" t="str">
        <f aca="false">IF($M114&lt;&gt;"",$M114,IF($G114="","",MAX(1,(Setup!$B$6/$G114)^Setup!$B$7)))</f>
        <v/>
      </c>
      <c r="W114" s="22" t="str">
        <f aca="false">IF(COUNT($J114:$L114)&lt;3,"",Setup!$B$10*(6-$J114)+Setup!$B$11*$K114+Setup!$B$12*$L114)</f>
        <v/>
      </c>
      <c r="X114" s="23" t="str">
        <f aca="false">IF($W114="","",IF(LEFT(Setup!$B$15,1)="B",EXP(Setup!$B$14*($W114-1)),1+Setup!$B$14*($W114-1)))</f>
        <v/>
      </c>
      <c r="Y114" s="23" t="str">
        <f aca="false">IF($N114&lt;&gt;"",$N114,$X114)</f>
        <v/>
      </c>
      <c r="Z114" s="22" t="str">
        <f aca="false">IF(OR($H114="",$U114="",$V114=""),"",$H114*$U114*$V114)</f>
        <v/>
      </c>
      <c r="AA114" s="22" t="str">
        <f aca="false">IF(OR($Z114="",$Y114=""),"",$Z114*$Y114)</f>
        <v/>
      </c>
      <c r="AB114" s="1" t="str">
        <f aca="false">IF($A114="","",IF(OR($E114="",$G114="",$H114="",$I114="",AND($N114="",COUNT($J114:$L114)&lt;3)),"Missing: "&amp;IF($E114="","P ","")&amp;IF($G114="","T ","")&amp;IF($H114="","I ","")&amp;IF($I114="","C ","")&amp;IF(AND($N114="",COUNT($J114:$L114)&lt;3),"C_ctrl/C_ext/C_irr",""),IF(N($F114)&gt;$E114,"P_floor &gt; P (floor capped at P)","OK")))</f>
        <v/>
      </c>
      <c r="AC114" s="1" t="str">
        <f aca="false">IF($AA114="","",$AA114+ROW()/1000000)</f>
        <v/>
      </c>
      <c r="AD114" s="18" t="n">
        <f aca="false">IF(AND($A114&lt;&gt;"",ISNUMBER($AA114)),1,0)</f>
        <v>0</v>
      </c>
      <c r="AE114" s="18" t="n">
        <f aca="false">IF($AD114=1,$H114,0)</f>
        <v>0</v>
      </c>
      <c r="AF114" s="18" t="n">
        <f aca="false">IF($AD114=1,$E114,0)</f>
        <v>0</v>
      </c>
      <c r="AG114" s="18" t="n">
        <f aca="false">IF($AD114=1,MIN(N($F114),$E114),0)</f>
        <v>0</v>
      </c>
      <c r="AH114" s="18" t="n">
        <f aca="false">IF($AD114=1,$I114,0)</f>
        <v>0</v>
      </c>
      <c r="AI114" s="18" t="n">
        <f aca="false">IF($AD114=1,$G114,1)</f>
        <v>1</v>
      </c>
      <c r="AJ114" s="18" t="n">
        <f aca="false">IF($AD114=1,$V114,1)</f>
        <v>1</v>
      </c>
      <c r="AK114" s="18" t="n">
        <f aca="false">IF($AD114=1,$Y114,1)</f>
        <v>1</v>
      </c>
    </row>
    <row r="115" customFormat="false" ht="15" hidden="false" customHeight="false" outlineLevel="0" collapsed="false">
      <c r="A115" s="10"/>
      <c r="B115" s="10"/>
      <c r="C115" s="12"/>
      <c r="D115" s="17"/>
      <c r="E115" s="13"/>
      <c r="F115" s="21"/>
      <c r="G115" s="12"/>
      <c r="H115" s="12"/>
      <c r="I115" s="12"/>
      <c r="J115" s="12"/>
      <c r="K115" s="12"/>
      <c r="L115" s="12"/>
      <c r="M115" s="15"/>
      <c r="N115" s="15"/>
      <c r="O115" s="12"/>
      <c r="P115" s="17"/>
      <c r="Q115" s="22" t="str">
        <f aca="false">IF(OR($G115="",Setup!$B$5=""),"",Setup!$B$5/$G115)</f>
        <v/>
      </c>
      <c r="R115" s="23" t="str">
        <f aca="false">IF(OR($E115="",$Q115=""),"",1-(1-$E115)^$Q115)</f>
        <v/>
      </c>
      <c r="S115" s="22" t="str">
        <f aca="false">IF(OR($R115="",$H115=""),"",$H115*$R115)</f>
        <v/>
      </c>
      <c r="T115" s="23" t="str">
        <f aca="false">IF(OR($E115="",$I115=""),"",MIN(1,MIN(N($F115),$E115)+($E115-MIN(N($F115),$E115))*(1-$I115)))</f>
        <v/>
      </c>
      <c r="U115" s="23" t="str">
        <f aca="false">IF(OR($T115="",$Q115=""),"",1-(1-$T115)^$Q115)</f>
        <v/>
      </c>
      <c r="V115" s="23" t="str">
        <f aca="false">IF($M115&lt;&gt;"",$M115,IF($G115="","",MAX(1,(Setup!$B$6/$G115)^Setup!$B$7)))</f>
        <v/>
      </c>
      <c r="W115" s="22" t="str">
        <f aca="false">IF(COUNT($J115:$L115)&lt;3,"",Setup!$B$10*(6-$J115)+Setup!$B$11*$K115+Setup!$B$12*$L115)</f>
        <v/>
      </c>
      <c r="X115" s="23" t="str">
        <f aca="false">IF($W115="","",IF(LEFT(Setup!$B$15,1)="B",EXP(Setup!$B$14*($W115-1)),1+Setup!$B$14*($W115-1)))</f>
        <v/>
      </c>
      <c r="Y115" s="23" t="str">
        <f aca="false">IF($N115&lt;&gt;"",$N115,$X115)</f>
        <v/>
      </c>
      <c r="Z115" s="22" t="str">
        <f aca="false">IF(OR($H115="",$U115="",$V115=""),"",$H115*$U115*$V115)</f>
        <v/>
      </c>
      <c r="AA115" s="22" t="str">
        <f aca="false">IF(OR($Z115="",$Y115=""),"",$Z115*$Y115)</f>
        <v/>
      </c>
      <c r="AB115" s="1" t="str">
        <f aca="false">IF($A115="","",IF(OR($E115="",$G115="",$H115="",$I115="",AND($N115="",COUNT($J115:$L115)&lt;3)),"Missing: "&amp;IF($E115="","P ","")&amp;IF($G115="","T ","")&amp;IF($H115="","I ","")&amp;IF($I115="","C ","")&amp;IF(AND($N115="",COUNT($J115:$L115)&lt;3),"C_ctrl/C_ext/C_irr",""),IF(N($F115)&gt;$E115,"P_floor &gt; P (floor capped at P)","OK")))</f>
        <v/>
      </c>
      <c r="AC115" s="1" t="str">
        <f aca="false">IF($AA115="","",$AA115+ROW()/1000000)</f>
        <v/>
      </c>
      <c r="AD115" s="18" t="n">
        <f aca="false">IF(AND($A115&lt;&gt;"",ISNUMBER($AA115)),1,0)</f>
        <v>0</v>
      </c>
      <c r="AE115" s="18" t="n">
        <f aca="false">IF($AD115=1,$H115,0)</f>
        <v>0</v>
      </c>
      <c r="AF115" s="18" t="n">
        <f aca="false">IF($AD115=1,$E115,0)</f>
        <v>0</v>
      </c>
      <c r="AG115" s="18" t="n">
        <f aca="false">IF($AD115=1,MIN(N($F115),$E115),0)</f>
        <v>0</v>
      </c>
      <c r="AH115" s="18" t="n">
        <f aca="false">IF($AD115=1,$I115,0)</f>
        <v>0</v>
      </c>
      <c r="AI115" s="18" t="n">
        <f aca="false">IF($AD115=1,$G115,1)</f>
        <v>1</v>
      </c>
      <c r="AJ115" s="18" t="n">
        <f aca="false">IF($AD115=1,$V115,1)</f>
        <v>1</v>
      </c>
      <c r="AK115" s="18" t="n">
        <f aca="false">IF($AD115=1,$Y115,1)</f>
        <v>1</v>
      </c>
    </row>
    <row r="116" customFormat="false" ht="15" hidden="false" customHeight="false" outlineLevel="0" collapsed="false">
      <c r="A116" s="10"/>
      <c r="B116" s="10"/>
      <c r="C116" s="12"/>
      <c r="D116" s="17"/>
      <c r="E116" s="13"/>
      <c r="F116" s="21"/>
      <c r="G116" s="12"/>
      <c r="H116" s="12"/>
      <c r="I116" s="12"/>
      <c r="J116" s="12"/>
      <c r="K116" s="12"/>
      <c r="L116" s="12"/>
      <c r="M116" s="15"/>
      <c r="N116" s="15"/>
      <c r="O116" s="12"/>
      <c r="P116" s="17"/>
      <c r="Q116" s="22" t="str">
        <f aca="false">IF(OR($G116="",Setup!$B$5=""),"",Setup!$B$5/$G116)</f>
        <v/>
      </c>
      <c r="R116" s="23" t="str">
        <f aca="false">IF(OR($E116="",$Q116=""),"",1-(1-$E116)^$Q116)</f>
        <v/>
      </c>
      <c r="S116" s="22" t="str">
        <f aca="false">IF(OR($R116="",$H116=""),"",$H116*$R116)</f>
        <v/>
      </c>
      <c r="T116" s="23" t="str">
        <f aca="false">IF(OR($E116="",$I116=""),"",MIN(1,MIN(N($F116),$E116)+($E116-MIN(N($F116),$E116))*(1-$I116)))</f>
        <v/>
      </c>
      <c r="U116" s="23" t="str">
        <f aca="false">IF(OR($T116="",$Q116=""),"",1-(1-$T116)^$Q116)</f>
        <v/>
      </c>
      <c r="V116" s="23" t="str">
        <f aca="false">IF($M116&lt;&gt;"",$M116,IF($G116="","",MAX(1,(Setup!$B$6/$G116)^Setup!$B$7)))</f>
        <v/>
      </c>
      <c r="W116" s="22" t="str">
        <f aca="false">IF(COUNT($J116:$L116)&lt;3,"",Setup!$B$10*(6-$J116)+Setup!$B$11*$K116+Setup!$B$12*$L116)</f>
        <v/>
      </c>
      <c r="X116" s="23" t="str">
        <f aca="false">IF($W116="","",IF(LEFT(Setup!$B$15,1)="B",EXP(Setup!$B$14*($W116-1)),1+Setup!$B$14*($W116-1)))</f>
        <v/>
      </c>
      <c r="Y116" s="23" t="str">
        <f aca="false">IF($N116&lt;&gt;"",$N116,$X116)</f>
        <v/>
      </c>
      <c r="Z116" s="22" t="str">
        <f aca="false">IF(OR($H116="",$U116="",$V116=""),"",$H116*$U116*$V116)</f>
        <v/>
      </c>
      <c r="AA116" s="22" t="str">
        <f aca="false">IF(OR($Z116="",$Y116=""),"",$Z116*$Y116)</f>
        <v/>
      </c>
      <c r="AB116" s="1" t="str">
        <f aca="false">IF($A116="","",IF(OR($E116="",$G116="",$H116="",$I116="",AND($N116="",COUNT($J116:$L116)&lt;3)),"Missing: "&amp;IF($E116="","P ","")&amp;IF($G116="","T ","")&amp;IF($H116="","I ","")&amp;IF($I116="","C ","")&amp;IF(AND($N116="",COUNT($J116:$L116)&lt;3),"C_ctrl/C_ext/C_irr",""),IF(N($F116)&gt;$E116,"P_floor &gt; P (floor capped at P)","OK")))</f>
        <v/>
      </c>
      <c r="AC116" s="1" t="str">
        <f aca="false">IF($AA116="","",$AA116+ROW()/1000000)</f>
        <v/>
      </c>
      <c r="AD116" s="18" t="n">
        <f aca="false">IF(AND($A116&lt;&gt;"",ISNUMBER($AA116)),1,0)</f>
        <v>0</v>
      </c>
      <c r="AE116" s="18" t="n">
        <f aca="false">IF($AD116=1,$H116,0)</f>
        <v>0</v>
      </c>
      <c r="AF116" s="18" t="n">
        <f aca="false">IF($AD116=1,$E116,0)</f>
        <v>0</v>
      </c>
      <c r="AG116" s="18" t="n">
        <f aca="false">IF($AD116=1,MIN(N($F116),$E116),0)</f>
        <v>0</v>
      </c>
      <c r="AH116" s="18" t="n">
        <f aca="false">IF($AD116=1,$I116,0)</f>
        <v>0</v>
      </c>
      <c r="AI116" s="18" t="n">
        <f aca="false">IF($AD116=1,$G116,1)</f>
        <v>1</v>
      </c>
      <c r="AJ116" s="18" t="n">
        <f aca="false">IF($AD116=1,$V116,1)</f>
        <v>1</v>
      </c>
      <c r="AK116" s="18" t="n">
        <f aca="false">IF($AD116=1,$Y116,1)</f>
        <v>1</v>
      </c>
    </row>
    <row r="117" customFormat="false" ht="15" hidden="false" customHeight="false" outlineLevel="0" collapsed="false">
      <c r="A117" s="10"/>
      <c r="B117" s="10"/>
      <c r="C117" s="12"/>
      <c r="D117" s="17"/>
      <c r="E117" s="13"/>
      <c r="F117" s="21"/>
      <c r="G117" s="12"/>
      <c r="H117" s="12"/>
      <c r="I117" s="12"/>
      <c r="J117" s="12"/>
      <c r="K117" s="12"/>
      <c r="L117" s="12"/>
      <c r="M117" s="15"/>
      <c r="N117" s="15"/>
      <c r="O117" s="12"/>
      <c r="P117" s="17"/>
      <c r="Q117" s="22" t="str">
        <f aca="false">IF(OR($G117="",Setup!$B$5=""),"",Setup!$B$5/$G117)</f>
        <v/>
      </c>
      <c r="R117" s="23" t="str">
        <f aca="false">IF(OR($E117="",$Q117=""),"",1-(1-$E117)^$Q117)</f>
        <v/>
      </c>
      <c r="S117" s="22" t="str">
        <f aca="false">IF(OR($R117="",$H117=""),"",$H117*$R117)</f>
        <v/>
      </c>
      <c r="T117" s="23" t="str">
        <f aca="false">IF(OR($E117="",$I117=""),"",MIN(1,MIN(N($F117),$E117)+($E117-MIN(N($F117),$E117))*(1-$I117)))</f>
        <v/>
      </c>
      <c r="U117" s="23" t="str">
        <f aca="false">IF(OR($T117="",$Q117=""),"",1-(1-$T117)^$Q117)</f>
        <v/>
      </c>
      <c r="V117" s="23" t="str">
        <f aca="false">IF($M117&lt;&gt;"",$M117,IF($G117="","",MAX(1,(Setup!$B$6/$G117)^Setup!$B$7)))</f>
        <v/>
      </c>
      <c r="W117" s="22" t="str">
        <f aca="false">IF(COUNT($J117:$L117)&lt;3,"",Setup!$B$10*(6-$J117)+Setup!$B$11*$K117+Setup!$B$12*$L117)</f>
        <v/>
      </c>
      <c r="X117" s="23" t="str">
        <f aca="false">IF($W117="","",IF(LEFT(Setup!$B$15,1)="B",EXP(Setup!$B$14*($W117-1)),1+Setup!$B$14*($W117-1)))</f>
        <v/>
      </c>
      <c r="Y117" s="23" t="str">
        <f aca="false">IF($N117&lt;&gt;"",$N117,$X117)</f>
        <v/>
      </c>
      <c r="Z117" s="22" t="str">
        <f aca="false">IF(OR($H117="",$U117="",$V117=""),"",$H117*$U117*$V117)</f>
        <v/>
      </c>
      <c r="AA117" s="22" t="str">
        <f aca="false">IF(OR($Z117="",$Y117=""),"",$Z117*$Y117)</f>
        <v/>
      </c>
      <c r="AB117" s="1" t="str">
        <f aca="false">IF($A117="","",IF(OR($E117="",$G117="",$H117="",$I117="",AND($N117="",COUNT($J117:$L117)&lt;3)),"Missing: "&amp;IF($E117="","P ","")&amp;IF($G117="","T ","")&amp;IF($H117="","I ","")&amp;IF($I117="","C ","")&amp;IF(AND($N117="",COUNT($J117:$L117)&lt;3),"C_ctrl/C_ext/C_irr",""),IF(N($F117)&gt;$E117,"P_floor &gt; P (floor capped at P)","OK")))</f>
        <v/>
      </c>
      <c r="AC117" s="1" t="str">
        <f aca="false">IF($AA117="","",$AA117+ROW()/1000000)</f>
        <v/>
      </c>
      <c r="AD117" s="18" t="n">
        <f aca="false">IF(AND($A117&lt;&gt;"",ISNUMBER($AA117)),1,0)</f>
        <v>0</v>
      </c>
      <c r="AE117" s="18" t="n">
        <f aca="false">IF($AD117=1,$H117,0)</f>
        <v>0</v>
      </c>
      <c r="AF117" s="18" t="n">
        <f aca="false">IF($AD117=1,$E117,0)</f>
        <v>0</v>
      </c>
      <c r="AG117" s="18" t="n">
        <f aca="false">IF($AD117=1,MIN(N($F117),$E117),0)</f>
        <v>0</v>
      </c>
      <c r="AH117" s="18" t="n">
        <f aca="false">IF($AD117=1,$I117,0)</f>
        <v>0</v>
      </c>
      <c r="AI117" s="18" t="n">
        <f aca="false">IF($AD117=1,$G117,1)</f>
        <v>1</v>
      </c>
      <c r="AJ117" s="18" t="n">
        <f aca="false">IF($AD117=1,$V117,1)</f>
        <v>1</v>
      </c>
      <c r="AK117" s="18" t="n">
        <f aca="false">IF($AD117=1,$Y117,1)</f>
        <v>1</v>
      </c>
    </row>
    <row r="118" customFormat="false" ht="15" hidden="false" customHeight="false" outlineLevel="0" collapsed="false">
      <c r="A118" s="10"/>
      <c r="B118" s="10"/>
      <c r="C118" s="12"/>
      <c r="D118" s="17"/>
      <c r="E118" s="13"/>
      <c r="F118" s="21"/>
      <c r="G118" s="12"/>
      <c r="H118" s="12"/>
      <c r="I118" s="12"/>
      <c r="J118" s="12"/>
      <c r="K118" s="12"/>
      <c r="L118" s="12"/>
      <c r="M118" s="15"/>
      <c r="N118" s="15"/>
      <c r="O118" s="12"/>
      <c r="P118" s="17"/>
      <c r="Q118" s="22" t="str">
        <f aca="false">IF(OR($G118="",Setup!$B$5=""),"",Setup!$B$5/$G118)</f>
        <v/>
      </c>
      <c r="R118" s="23" t="str">
        <f aca="false">IF(OR($E118="",$Q118=""),"",1-(1-$E118)^$Q118)</f>
        <v/>
      </c>
      <c r="S118" s="22" t="str">
        <f aca="false">IF(OR($R118="",$H118=""),"",$H118*$R118)</f>
        <v/>
      </c>
      <c r="T118" s="23" t="str">
        <f aca="false">IF(OR($E118="",$I118=""),"",MIN(1,MIN(N($F118),$E118)+($E118-MIN(N($F118),$E118))*(1-$I118)))</f>
        <v/>
      </c>
      <c r="U118" s="23" t="str">
        <f aca="false">IF(OR($T118="",$Q118=""),"",1-(1-$T118)^$Q118)</f>
        <v/>
      </c>
      <c r="V118" s="23" t="str">
        <f aca="false">IF($M118&lt;&gt;"",$M118,IF($G118="","",MAX(1,(Setup!$B$6/$G118)^Setup!$B$7)))</f>
        <v/>
      </c>
      <c r="W118" s="22" t="str">
        <f aca="false">IF(COUNT($J118:$L118)&lt;3,"",Setup!$B$10*(6-$J118)+Setup!$B$11*$K118+Setup!$B$12*$L118)</f>
        <v/>
      </c>
      <c r="X118" s="23" t="str">
        <f aca="false">IF($W118="","",IF(LEFT(Setup!$B$15,1)="B",EXP(Setup!$B$14*($W118-1)),1+Setup!$B$14*($W118-1)))</f>
        <v/>
      </c>
      <c r="Y118" s="23" t="str">
        <f aca="false">IF($N118&lt;&gt;"",$N118,$X118)</f>
        <v/>
      </c>
      <c r="Z118" s="22" t="str">
        <f aca="false">IF(OR($H118="",$U118="",$V118=""),"",$H118*$U118*$V118)</f>
        <v/>
      </c>
      <c r="AA118" s="22" t="str">
        <f aca="false">IF(OR($Z118="",$Y118=""),"",$Z118*$Y118)</f>
        <v/>
      </c>
      <c r="AB118" s="1" t="str">
        <f aca="false">IF($A118="","",IF(OR($E118="",$G118="",$H118="",$I118="",AND($N118="",COUNT($J118:$L118)&lt;3)),"Missing: "&amp;IF($E118="","P ","")&amp;IF($G118="","T ","")&amp;IF($H118="","I ","")&amp;IF($I118="","C ","")&amp;IF(AND($N118="",COUNT($J118:$L118)&lt;3),"C_ctrl/C_ext/C_irr",""),IF(N($F118)&gt;$E118,"P_floor &gt; P (floor capped at P)","OK")))</f>
        <v/>
      </c>
      <c r="AC118" s="1" t="str">
        <f aca="false">IF($AA118="","",$AA118+ROW()/1000000)</f>
        <v/>
      </c>
      <c r="AD118" s="18" t="n">
        <f aca="false">IF(AND($A118&lt;&gt;"",ISNUMBER($AA118)),1,0)</f>
        <v>0</v>
      </c>
      <c r="AE118" s="18" t="n">
        <f aca="false">IF($AD118=1,$H118,0)</f>
        <v>0</v>
      </c>
      <c r="AF118" s="18" t="n">
        <f aca="false">IF($AD118=1,$E118,0)</f>
        <v>0</v>
      </c>
      <c r="AG118" s="18" t="n">
        <f aca="false">IF($AD118=1,MIN(N($F118),$E118),0)</f>
        <v>0</v>
      </c>
      <c r="AH118" s="18" t="n">
        <f aca="false">IF($AD118=1,$I118,0)</f>
        <v>0</v>
      </c>
      <c r="AI118" s="18" t="n">
        <f aca="false">IF($AD118=1,$G118,1)</f>
        <v>1</v>
      </c>
      <c r="AJ118" s="18" t="n">
        <f aca="false">IF($AD118=1,$V118,1)</f>
        <v>1</v>
      </c>
      <c r="AK118" s="18" t="n">
        <f aca="false">IF($AD118=1,$Y118,1)</f>
        <v>1</v>
      </c>
    </row>
    <row r="119" customFormat="false" ht="15" hidden="false" customHeight="false" outlineLevel="0" collapsed="false">
      <c r="A119" s="10"/>
      <c r="B119" s="10"/>
      <c r="C119" s="12"/>
      <c r="D119" s="17"/>
      <c r="E119" s="13"/>
      <c r="F119" s="21"/>
      <c r="G119" s="12"/>
      <c r="H119" s="12"/>
      <c r="I119" s="12"/>
      <c r="J119" s="12"/>
      <c r="K119" s="12"/>
      <c r="L119" s="12"/>
      <c r="M119" s="15"/>
      <c r="N119" s="15"/>
      <c r="O119" s="12"/>
      <c r="P119" s="17"/>
      <c r="Q119" s="22" t="str">
        <f aca="false">IF(OR($G119="",Setup!$B$5=""),"",Setup!$B$5/$G119)</f>
        <v/>
      </c>
      <c r="R119" s="23" t="str">
        <f aca="false">IF(OR($E119="",$Q119=""),"",1-(1-$E119)^$Q119)</f>
        <v/>
      </c>
      <c r="S119" s="22" t="str">
        <f aca="false">IF(OR($R119="",$H119=""),"",$H119*$R119)</f>
        <v/>
      </c>
      <c r="T119" s="23" t="str">
        <f aca="false">IF(OR($E119="",$I119=""),"",MIN(1,MIN(N($F119),$E119)+($E119-MIN(N($F119),$E119))*(1-$I119)))</f>
        <v/>
      </c>
      <c r="U119" s="23" t="str">
        <f aca="false">IF(OR($T119="",$Q119=""),"",1-(1-$T119)^$Q119)</f>
        <v/>
      </c>
      <c r="V119" s="23" t="str">
        <f aca="false">IF($M119&lt;&gt;"",$M119,IF($G119="","",MAX(1,(Setup!$B$6/$G119)^Setup!$B$7)))</f>
        <v/>
      </c>
      <c r="W119" s="22" t="str">
        <f aca="false">IF(COUNT($J119:$L119)&lt;3,"",Setup!$B$10*(6-$J119)+Setup!$B$11*$K119+Setup!$B$12*$L119)</f>
        <v/>
      </c>
      <c r="X119" s="23" t="str">
        <f aca="false">IF($W119="","",IF(LEFT(Setup!$B$15,1)="B",EXP(Setup!$B$14*($W119-1)),1+Setup!$B$14*($W119-1)))</f>
        <v/>
      </c>
      <c r="Y119" s="23" t="str">
        <f aca="false">IF($N119&lt;&gt;"",$N119,$X119)</f>
        <v/>
      </c>
      <c r="Z119" s="22" t="str">
        <f aca="false">IF(OR($H119="",$U119="",$V119=""),"",$H119*$U119*$V119)</f>
        <v/>
      </c>
      <c r="AA119" s="22" t="str">
        <f aca="false">IF(OR($Z119="",$Y119=""),"",$Z119*$Y119)</f>
        <v/>
      </c>
      <c r="AB119" s="1" t="str">
        <f aca="false">IF($A119="","",IF(OR($E119="",$G119="",$H119="",$I119="",AND($N119="",COUNT($J119:$L119)&lt;3)),"Missing: "&amp;IF($E119="","P ","")&amp;IF($G119="","T ","")&amp;IF($H119="","I ","")&amp;IF($I119="","C ","")&amp;IF(AND($N119="",COUNT($J119:$L119)&lt;3),"C_ctrl/C_ext/C_irr",""),IF(N($F119)&gt;$E119,"P_floor &gt; P (floor capped at P)","OK")))</f>
        <v/>
      </c>
      <c r="AC119" s="1" t="str">
        <f aca="false">IF($AA119="","",$AA119+ROW()/1000000)</f>
        <v/>
      </c>
      <c r="AD119" s="18" t="n">
        <f aca="false">IF(AND($A119&lt;&gt;"",ISNUMBER($AA119)),1,0)</f>
        <v>0</v>
      </c>
      <c r="AE119" s="18" t="n">
        <f aca="false">IF($AD119=1,$H119,0)</f>
        <v>0</v>
      </c>
      <c r="AF119" s="18" t="n">
        <f aca="false">IF($AD119=1,$E119,0)</f>
        <v>0</v>
      </c>
      <c r="AG119" s="18" t="n">
        <f aca="false">IF($AD119=1,MIN(N($F119),$E119),0)</f>
        <v>0</v>
      </c>
      <c r="AH119" s="18" t="n">
        <f aca="false">IF($AD119=1,$I119,0)</f>
        <v>0</v>
      </c>
      <c r="AI119" s="18" t="n">
        <f aca="false">IF($AD119=1,$G119,1)</f>
        <v>1</v>
      </c>
      <c r="AJ119" s="18" t="n">
        <f aca="false">IF($AD119=1,$V119,1)</f>
        <v>1</v>
      </c>
      <c r="AK119" s="18" t="n">
        <f aca="false">IF($AD119=1,$Y119,1)</f>
        <v>1</v>
      </c>
    </row>
    <row r="120" customFormat="false" ht="15" hidden="false" customHeight="false" outlineLevel="0" collapsed="false">
      <c r="A120" s="10"/>
      <c r="B120" s="10"/>
      <c r="C120" s="12"/>
      <c r="D120" s="17"/>
      <c r="E120" s="13"/>
      <c r="F120" s="21"/>
      <c r="G120" s="12"/>
      <c r="H120" s="12"/>
      <c r="I120" s="12"/>
      <c r="J120" s="12"/>
      <c r="K120" s="12"/>
      <c r="L120" s="12"/>
      <c r="M120" s="15"/>
      <c r="N120" s="15"/>
      <c r="O120" s="12"/>
      <c r="P120" s="17"/>
      <c r="Q120" s="22" t="str">
        <f aca="false">IF(OR($G120="",Setup!$B$5=""),"",Setup!$B$5/$G120)</f>
        <v/>
      </c>
      <c r="R120" s="23" t="str">
        <f aca="false">IF(OR($E120="",$Q120=""),"",1-(1-$E120)^$Q120)</f>
        <v/>
      </c>
      <c r="S120" s="22" t="str">
        <f aca="false">IF(OR($R120="",$H120=""),"",$H120*$R120)</f>
        <v/>
      </c>
      <c r="T120" s="23" t="str">
        <f aca="false">IF(OR($E120="",$I120=""),"",MIN(1,MIN(N($F120),$E120)+($E120-MIN(N($F120),$E120))*(1-$I120)))</f>
        <v/>
      </c>
      <c r="U120" s="23" t="str">
        <f aca="false">IF(OR($T120="",$Q120=""),"",1-(1-$T120)^$Q120)</f>
        <v/>
      </c>
      <c r="V120" s="23" t="str">
        <f aca="false">IF($M120&lt;&gt;"",$M120,IF($G120="","",MAX(1,(Setup!$B$6/$G120)^Setup!$B$7)))</f>
        <v/>
      </c>
      <c r="W120" s="22" t="str">
        <f aca="false">IF(COUNT($J120:$L120)&lt;3,"",Setup!$B$10*(6-$J120)+Setup!$B$11*$K120+Setup!$B$12*$L120)</f>
        <v/>
      </c>
      <c r="X120" s="23" t="str">
        <f aca="false">IF($W120="","",IF(LEFT(Setup!$B$15,1)="B",EXP(Setup!$B$14*($W120-1)),1+Setup!$B$14*($W120-1)))</f>
        <v/>
      </c>
      <c r="Y120" s="23" t="str">
        <f aca="false">IF($N120&lt;&gt;"",$N120,$X120)</f>
        <v/>
      </c>
      <c r="Z120" s="22" t="str">
        <f aca="false">IF(OR($H120="",$U120="",$V120=""),"",$H120*$U120*$V120)</f>
        <v/>
      </c>
      <c r="AA120" s="22" t="str">
        <f aca="false">IF(OR($Z120="",$Y120=""),"",$Z120*$Y120)</f>
        <v/>
      </c>
      <c r="AB120" s="1" t="str">
        <f aca="false">IF($A120="","",IF(OR($E120="",$G120="",$H120="",$I120="",AND($N120="",COUNT($J120:$L120)&lt;3)),"Missing: "&amp;IF($E120="","P ","")&amp;IF($G120="","T ","")&amp;IF($H120="","I ","")&amp;IF($I120="","C ","")&amp;IF(AND($N120="",COUNT($J120:$L120)&lt;3),"C_ctrl/C_ext/C_irr",""),IF(N($F120)&gt;$E120,"P_floor &gt; P (floor capped at P)","OK")))</f>
        <v/>
      </c>
      <c r="AC120" s="1" t="str">
        <f aca="false">IF($AA120="","",$AA120+ROW()/1000000)</f>
        <v/>
      </c>
      <c r="AD120" s="18" t="n">
        <f aca="false">IF(AND($A120&lt;&gt;"",ISNUMBER($AA120)),1,0)</f>
        <v>0</v>
      </c>
      <c r="AE120" s="18" t="n">
        <f aca="false">IF($AD120=1,$H120,0)</f>
        <v>0</v>
      </c>
      <c r="AF120" s="18" t="n">
        <f aca="false">IF($AD120=1,$E120,0)</f>
        <v>0</v>
      </c>
      <c r="AG120" s="18" t="n">
        <f aca="false">IF($AD120=1,MIN(N($F120),$E120),0)</f>
        <v>0</v>
      </c>
      <c r="AH120" s="18" t="n">
        <f aca="false">IF($AD120=1,$I120,0)</f>
        <v>0</v>
      </c>
      <c r="AI120" s="18" t="n">
        <f aca="false">IF($AD120=1,$G120,1)</f>
        <v>1</v>
      </c>
      <c r="AJ120" s="18" t="n">
        <f aca="false">IF($AD120=1,$V120,1)</f>
        <v>1</v>
      </c>
      <c r="AK120" s="18" t="n">
        <f aca="false">IF($AD120=1,$Y120,1)</f>
        <v>1</v>
      </c>
    </row>
    <row r="121" customFormat="false" ht="15" hidden="false" customHeight="false" outlineLevel="0" collapsed="false">
      <c r="A121" s="10"/>
      <c r="B121" s="10"/>
      <c r="C121" s="12"/>
      <c r="D121" s="17"/>
      <c r="E121" s="13"/>
      <c r="F121" s="21"/>
      <c r="G121" s="12"/>
      <c r="H121" s="12"/>
      <c r="I121" s="12"/>
      <c r="J121" s="12"/>
      <c r="K121" s="12"/>
      <c r="L121" s="12"/>
      <c r="M121" s="15"/>
      <c r="N121" s="15"/>
      <c r="O121" s="12"/>
      <c r="P121" s="17"/>
      <c r="Q121" s="22" t="str">
        <f aca="false">IF(OR($G121="",Setup!$B$5=""),"",Setup!$B$5/$G121)</f>
        <v/>
      </c>
      <c r="R121" s="23" t="str">
        <f aca="false">IF(OR($E121="",$Q121=""),"",1-(1-$E121)^$Q121)</f>
        <v/>
      </c>
      <c r="S121" s="22" t="str">
        <f aca="false">IF(OR($R121="",$H121=""),"",$H121*$R121)</f>
        <v/>
      </c>
      <c r="T121" s="23" t="str">
        <f aca="false">IF(OR($E121="",$I121=""),"",MIN(1,MIN(N($F121),$E121)+($E121-MIN(N($F121),$E121))*(1-$I121)))</f>
        <v/>
      </c>
      <c r="U121" s="23" t="str">
        <f aca="false">IF(OR($T121="",$Q121=""),"",1-(1-$T121)^$Q121)</f>
        <v/>
      </c>
      <c r="V121" s="23" t="str">
        <f aca="false">IF($M121&lt;&gt;"",$M121,IF($G121="","",MAX(1,(Setup!$B$6/$G121)^Setup!$B$7)))</f>
        <v/>
      </c>
      <c r="W121" s="22" t="str">
        <f aca="false">IF(COUNT($J121:$L121)&lt;3,"",Setup!$B$10*(6-$J121)+Setup!$B$11*$K121+Setup!$B$12*$L121)</f>
        <v/>
      </c>
      <c r="X121" s="23" t="str">
        <f aca="false">IF($W121="","",IF(LEFT(Setup!$B$15,1)="B",EXP(Setup!$B$14*($W121-1)),1+Setup!$B$14*($W121-1)))</f>
        <v/>
      </c>
      <c r="Y121" s="23" t="str">
        <f aca="false">IF($N121&lt;&gt;"",$N121,$X121)</f>
        <v/>
      </c>
      <c r="Z121" s="22" t="str">
        <f aca="false">IF(OR($H121="",$U121="",$V121=""),"",$H121*$U121*$V121)</f>
        <v/>
      </c>
      <c r="AA121" s="22" t="str">
        <f aca="false">IF(OR($Z121="",$Y121=""),"",$Z121*$Y121)</f>
        <v/>
      </c>
      <c r="AB121" s="1" t="str">
        <f aca="false">IF($A121="","",IF(OR($E121="",$G121="",$H121="",$I121="",AND($N121="",COUNT($J121:$L121)&lt;3)),"Missing: "&amp;IF($E121="","P ","")&amp;IF($G121="","T ","")&amp;IF($H121="","I ","")&amp;IF($I121="","C ","")&amp;IF(AND($N121="",COUNT($J121:$L121)&lt;3),"C_ctrl/C_ext/C_irr",""),IF(N($F121)&gt;$E121,"P_floor &gt; P (floor capped at P)","OK")))</f>
        <v/>
      </c>
      <c r="AC121" s="1" t="str">
        <f aca="false">IF($AA121="","",$AA121+ROW()/1000000)</f>
        <v/>
      </c>
      <c r="AD121" s="18" t="n">
        <f aca="false">IF(AND($A121&lt;&gt;"",ISNUMBER($AA121)),1,0)</f>
        <v>0</v>
      </c>
      <c r="AE121" s="18" t="n">
        <f aca="false">IF($AD121=1,$H121,0)</f>
        <v>0</v>
      </c>
      <c r="AF121" s="18" t="n">
        <f aca="false">IF($AD121=1,$E121,0)</f>
        <v>0</v>
      </c>
      <c r="AG121" s="18" t="n">
        <f aca="false">IF($AD121=1,MIN(N($F121),$E121),0)</f>
        <v>0</v>
      </c>
      <c r="AH121" s="18" t="n">
        <f aca="false">IF($AD121=1,$I121,0)</f>
        <v>0</v>
      </c>
      <c r="AI121" s="18" t="n">
        <f aca="false">IF($AD121=1,$G121,1)</f>
        <v>1</v>
      </c>
      <c r="AJ121" s="18" t="n">
        <f aca="false">IF($AD121=1,$V121,1)</f>
        <v>1</v>
      </c>
      <c r="AK121" s="18" t="n">
        <f aca="false">IF($AD121=1,$Y121,1)</f>
        <v>1</v>
      </c>
    </row>
    <row r="122" customFormat="false" ht="15" hidden="false" customHeight="false" outlineLevel="0" collapsed="false">
      <c r="A122" s="10"/>
      <c r="B122" s="10"/>
      <c r="C122" s="12"/>
      <c r="D122" s="17"/>
      <c r="E122" s="13"/>
      <c r="F122" s="21"/>
      <c r="G122" s="12"/>
      <c r="H122" s="12"/>
      <c r="I122" s="12"/>
      <c r="J122" s="12"/>
      <c r="K122" s="12"/>
      <c r="L122" s="12"/>
      <c r="M122" s="15"/>
      <c r="N122" s="15"/>
      <c r="O122" s="12"/>
      <c r="P122" s="17"/>
      <c r="Q122" s="22" t="str">
        <f aca="false">IF(OR($G122="",Setup!$B$5=""),"",Setup!$B$5/$G122)</f>
        <v/>
      </c>
      <c r="R122" s="23" t="str">
        <f aca="false">IF(OR($E122="",$Q122=""),"",1-(1-$E122)^$Q122)</f>
        <v/>
      </c>
      <c r="S122" s="22" t="str">
        <f aca="false">IF(OR($R122="",$H122=""),"",$H122*$R122)</f>
        <v/>
      </c>
      <c r="T122" s="23" t="str">
        <f aca="false">IF(OR($E122="",$I122=""),"",MIN(1,MIN(N($F122),$E122)+($E122-MIN(N($F122),$E122))*(1-$I122)))</f>
        <v/>
      </c>
      <c r="U122" s="23" t="str">
        <f aca="false">IF(OR($T122="",$Q122=""),"",1-(1-$T122)^$Q122)</f>
        <v/>
      </c>
      <c r="V122" s="23" t="str">
        <f aca="false">IF($M122&lt;&gt;"",$M122,IF($G122="","",MAX(1,(Setup!$B$6/$G122)^Setup!$B$7)))</f>
        <v/>
      </c>
      <c r="W122" s="22" t="str">
        <f aca="false">IF(COUNT($J122:$L122)&lt;3,"",Setup!$B$10*(6-$J122)+Setup!$B$11*$K122+Setup!$B$12*$L122)</f>
        <v/>
      </c>
      <c r="X122" s="23" t="str">
        <f aca="false">IF($W122="","",IF(LEFT(Setup!$B$15,1)="B",EXP(Setup!$B$14*($W122-1)),1+Setup!$B$14*($W122-1)))</f>
        <v/>
      </c>
      <c r="Y122" s="23" t="str">
        <f aca="false">IF($N122&lt;&gt;"",$N122,$X122)</f>
        <v/>
      </c>
      <c r="Z122" s="22" t="str">
        <f aca="false">IF(OR($H122="",$U122="",$V122=""),"",$H122*$U122*$V122)</f>
        <v/>
      </c>
      <c r="AA122" s="22" t="str">
        <f aca="false">IF(OR($Z122="",$Y122=""),"",$Z122*$Y122)</f>
        <v/>
      </c>
      <c r="AB122" s="1" t="str">
        <f aca="false">IF($A122="","",IF(OR($E122="",$G122="",$H122="",$I122="",AND($N122="",COUNT($J122:$L122)&lt;3)),"Missing: "&amp;IF($E122="","P ","")&amp;IF($G122="","T ","")&amp;IF($H122="","I ","")&amp;IF($I122="","C ","")&amp;IF(AND($N122="",COUNT($J122:$L122)&lt;3),"C_ctrl/C_ext/C_irr",""),IF(N($F122)&gt;$E122,"P_floor &gt; P (floor capped at P)","OK")))</f>
        <v/>
      </c>
      <c r="AC122" s="1" t="str">
        <f aca="false">IF($AA122="","",$AA122+ROW()/1000000)</f>
        <v/>
      </c>
      <c r="AD122" s="18" t="n">
        <f aca="false">IF(AND($A122&lt;&gt;"",ISNUMBER($AA122)),1,0)</f>
        <v>0</v>
      </c>
      <c r="AE122" s="18" t="n">
        <f aca="false">IF($AD122=1,$H122,0)</f>
        <v>0</v>
      </c>
      <c r="AF122" s="18" t="n">
        <f aca="false">IF($AD122=1,$E122,0)</f>
        <v>0</v>
      </c>
      <c r="AG122" s="18" t="n">
        <f aca="false">IF($AD122=1,MIN(N($F122),$E122),0)</f>
        <v>0</v>
      </c>
      <c r="AH122" s="18" t="n">
        <f aca="false">IF($AD122=1,$I122,0)</f>
        <v>0</v>
      </c>
      <c r="AI122" s="18" t="n">
        <f aca="false">IF($AD122=1,$G122,1)</f>
        <v>1</v>
      </c>
      <c r="AJ122" s="18" t="n">
        <f aca="false">IF($AD122=1,$V122,1)</f>
        <v>1</v>
      </c>
      <c r="AK122" s="18" t="n">
        <f aca="false">IF($AD122=1,$Y122,1)</f>
        <v>1</v>
      </c>
    </row>
    <row r="123" customFormat="false" ht="15" hidden="false" customHeight="false" outlineLevel="0" collapsed="false">
      <c r="A123" s="10"/>
      <c r="B123" s="10"/>
      <c r="C123" s="12"/>
      <c r="D123" s="17"/>
      <c r="E123" s="13"/>
      <c r="F123" s="21"/>
      <c r="G123" s="12"/>
      <c r="H123" s="12"/>
      <c r="I123" s="12"/>
      <c r="J123" s="12"/>
      <c r="K123" s="12"/>
      <c r="L123" s="12"/>
      <c r="M123" s="15"/>
      <c r="N123" s="15"/>
      <c r="O123" s="12"/>
      <c r="P123" s="17"/>
      <c r="Q123" s="22" t="str">
        <f aca="false">IF(OR($G123="",Setup!$B$5=""),"",Setup!$B$5/$G123)</f>
        <v/>
      </c>
      <c r="R123" s="23" t="str">
        <f aca="false">IF(OR($E123="",$Q123=""),"",1-(1-$E123)^$Q123)</f>
        <v/>
      </c>
      <c r="S123" s="22" t="str">
        <f aca="false">IF(OR($R123="",$H123=""),"",$H123*$R123)</f>
        <v/>
      </c>
      <c r="T123" s="23" t="str">
        <f aca="false">IF(OR($E123="",$I123=""),"",MIN(1,MIN(N($F123),$E123)+($E123-MIN(N($F123),$E123))*(1-$I123)))</f>
        <v/>
      </c>
      <c r="U123" s="23" t="str">
        <f aca="false">IF(OR($T123="",$Q123=""),"",1-(1-$T123)^$Q123)</f>
        <v/>
      </c>
      <c r="V123" s="23" t="str">
        <f aca="false">IF($M123&lt;&gt;"",$M123,IF($G123="","",MAX(1,(Setup!$B$6/$G123)^Setup!$B$7)))</f>
        <v/>
      </c>
      <c r="W123" s="22" t="str">
        <f aca="false">IF(COUNT($J123:$L123)&lt;3,"",Setup!$B$10*(6-$J123)+Setup!$B$11*$K123+Setup!$B$12*$L123)</f>
        <v/>
      </c>
      <c r="X123" s="23" t="str">
        <f aca="false">IF($W123="","",IF(LEFT(Setup!$B$15,1)="B",EXP(Setup!$B$14*($W123-1)),1+Setup!$B$14*($W123-1)))</f>
        <v/>
      </c>
      <c r="Y123" s="23" t="str">
        <f aca="false">IF($N123&lt;&gt;"",$N123,$X123)</f>
        <v/>
      </c>
      <c r="Z123" s="22" t="str">
        <f aca="false">IF(OR($H123="",$U123="",$V123=""),"",$H123*$U123*$V123)</f>
        <v/>
      </c>
      <c r="AA123" s="22" t="str">
        <f aca="false">IF(OR($Z123="",$Y123=""),"",$Z123*$Y123)</f>
        <v/>
      </c>
      <c r="AB123" s="1" t="str">
        <f aca="false">IF($A123="","",IF(OR($E123="",$G123="",$H123="",$I123="",AND($N123="",COUNT($J123:$L123)&lt;3)),"Missing: "&amp;IF($E123="","P ","")&amp;IF($G123="","T ","")&amp;IF($H123="","I ","")&amp;IF($I123="","C ","")&amp;IF(AND($N123="",COUNT($J123:$L123)&lt;3),"C_ctrl/C_ext/C_irr",""),IF(N($F123)&gt;$E123,"P_floor &gt; P (floor capped at P)","OK")))</f>
        <v/>
      </c>
      <c r="AC123" s="1" t="str">
        <f aca="false">IF($AA123="","",$AA123+ROW()/1000000)</f>
        <v/>
      </c>
      <c r="AD123" s="18" t="n">
        <f aca="false">IF(AND($A123&lt;&gt;"",ISNUMBER($AA123)),1,0)</f>
        <v>0</v>
      </c>
      <c r="AE123" s="18" t="n">
        <f aca="false">IF($AD123=1,$H123,0)</f>
        <v>0</v>
      </c>
      <c r="AF123" s="18" t="n">
        <f aca="false">IF($AD123=1,$E123,0)</f>
        <v>0</v>
      </c>
      <c r="AG123" s="18" t="n">
        <f aca="false">IF($AD123=1,MIN(N($F123),$E123),0)</f>
        <v>0</v>
      </c>
      <c r="AH123" s="18" t="n">
        <f aca="false">IF($AD123=1,$I123,0)</f>
        <v>0</v>
      </c>
      <c r="AI123" s="18" t="n">
        <f aca="false">IF($AD123=1,$G123,1)</f>
        <v>1</v>
      </c>
      <c r="AJ123" s="18" t="n">
        <f aca="false">IF($AD123=1,$V123,1)</f>
        <v>1</v>
      </c>
      <c r="AK123" s="18" t="n">
        <f aca="false">IF($AD123=1,$Y123,1)</f>
        <v>1</v>
      </c>
    </row>
    <row r="124" customFormat="false" ht="15" hidden="false" customHeight="false" outlineLevel="0" collapsed="false">
      <c r="A124" s="10"/>
      <c r="B124" s="10"/>
      <c r="C124" s="12"/>
      <c r="D124" s="17"/>
      <c r="E124" s="13"/>
      <c r="F124" s="21"/>
      <c r="G124" s="12"/>
      <c r="H124" s="12"/>
      <c r="I124" s="12"/>
      <c r="J124" s="12"/>
      <c r="K124" s="12"/>
      <c r="L124" s="12"/>
      <c r="M124" s="15"/>
      <c r="N124" s="15"/>
      <c r="O124" s="12"/>
      <c r="P124" s="17"/>
      <c r="Q124" s="22" t="str">
        <f aca="false">IF(OR($G124="",Setup!$B$5=""),"",Setup!$B$5/$G124)</f>
        <v/>
      </c>
      <c r="R124" s="23" t="str">
        <f aca="false">IF(OR($E124="",$Q124=""),"",1-(1-$E124)^$Q124)</f>
        <v/>
      </c>
      <c r="S124" s="22" t="str">
        <f aca="false">IF(OR($R124="",$H124=""),"",$H124*$R124)</f>
        <v/>
      </c>
      <c r="T124" s="23" t="str">
        <f aca="false">IF(OR($E124="",$I124=""),"",MIN(1,MIN(N($F124),$E124)+($E124-MIN(N($F124),$E124))*(1-$I124)))</f>
        <v/>
      </c>
      <c r="U124" s="23" t="str">
        <f aca="false">IF(OR($T124="",$Q124=""),"",1-(1-$T124)^$Q124)</f>
        <v/>
      </c>
      <c r="V124" s="23" t="str">
        <f aca="false">IF($M124&lt;&gt;"",$M124,IF($G124="","",MAX(1,(Setup!$B$6/$G124)^Setup!$B$7)))</f>
        <v/>
      </c>
      <c r="W124" s="22" t="str">
        <f aca="false">IF(COUNT($J124:$L124)&lt;3,"",Setup!$B$10*(6-$J124)+Setup!$B$11*$K124+Setup!$B$12*$L124)</f>
        <v/>
      </c>
      <c r="X124" s="23" t="str">
        <f aca="false">IF($W124="","",IF(LEFT(Setup!$B$15,1)="B",EXP(Setup!$B$14*($W124-1)),1+Setup!$B$14*($W124-1)))</f>
        <v/>
      </c>
      <c r="Y124" s="23" t="str">
        <f aca="false">IF($N124&lt;&gt;"",$N124,$X124)</f>
        <v/>
      </c>
      <c r="Z124" s="22" t="str">
        <f aca="false">IF(OR($H124="",$U124="",$V124=""),"",$H124*$U124*$V124)</f>
        <v/>
      </c>
      <c r="AA124" s="22" t="str">
        <f aca="false">IF(OR($Z124="",$Y124=""),"",$Z124*$Y124)</f>
        <v/>
      </c>
      <c r="AB124" s="1" t="str">
        <f aca="false">IF($A124="","",IF(OR($E124="",$G124="",$H124="",$I124="",AND($N124="",COUNT($J124:$L124)&lt;3)),"Missing: "&amp;IF($E124="","P ","")&amp;IF($G124="","T ","")&amp;IF($H124="","I ","")&amp;IF($I124="","C ","")&amp;IF(AND($N124="",COUNT($J124:$L124)&lt;3),"C_ctrl/C_ext/C_irr",""),IF(N($F124)&gt;$E124,"P_floor &gt; P (floor capped at P)","OK")))</f>
        <v/>
      </c>
      <c r="AC124" s="1" t="str">
        <f aca="false">IF($AA124="","",$AA124+ROW()/1000000)</f>
        <v/>
      </c>
      <c r="AD124" s="18" t="n">
        <f aca="false">IF(AND($A124&lt;&gt;"",ISNUMBER($AA124)),1,0)</f>
        <v>0</v>
      </c>
      <c r="AE124" s="18" t="n">
        <f aca="false">IF($AD124=1,$H124,0)</f>
        <v>0</v>
      </c>
      <c r="AF124" s="18" t="n">
        <f aca="false">IF($AD124=1,$E124,0)</f>
        <v>0</v>
      </c>
      <c r="AG124" s="18" t="n">
        <f aca="false">IF($AD124=1,MIN(N($F124),$E124),0)</f>
        <v>0</v>
      </c>
      <c r="AH124" s="18" t="n">
        <f aca="false">IF($AD124=1,$I124,0)</f>
        <v>0</v>
      </c>
      <c r="AI124" s="18" t="n">
        <f aca="false">IF($AD124=1,$G124,1)</f>
        <v>1</v>
      </c>
      <c r="AJ124" s="18" t="n">
        <f aca="false">IF($AD124=1,$V124,1)</f>
        <v>1</v>
      </c>
      <c r="AK124" s="18" t="n">
        <f aca="false">IF($AD124=1,$Y124,1)</f>
        <v>1</v>
      </c>
    </row>
    <row r="125" customFormat="false" ht="15" hidden="false" customHeight="false" outlineLevel="0" collapsed="false">
      <c r="A125" s="10"/>
      <c r="B125" s="10"/>
      <c r="C125" s="12"/>
      <c r="D125" s="17"/>
      <c r="E125" s="13"/>
      <c r="F125" s="21"/>
      <c r="G125" s="12"/>
      <c r="H125" s="12"/>
      <c r="I125" s="12"/>
      <c r="J125" s="12"/>
      <c r="K125" s="12"/>
      <c r="L125" s="12"/>
      <c r="M125" s="15"/>
      <c r="N125" s="15"/>
      <c r="O125" s="12"/>
      <c r="P125" s="17"/>
      <c r="Q125" s="22" t="str">
        <f aca="false">IF(OR($G125="",Setup!$B$5=""),"",Setup!$B$5/$G125)</f>
        <v/>
      </c>
      <c r="R125" s="23" t="str">
        <f aca="false">IF(OR($E125="",$Q125=""),"",1-(1-$E125)^$Q125)</f>
        <v/>
      </c>
      <c r="S125" s="22" t="str">
        <f aca="false">IF(OR($R125="",$H125=""),"",$H125*$R125)</f>
        <v/>
      </c>
      <c r="T125" s="23" t="str">
        <f aca="false">IF(OR($E125="",$I125=""),"",MIN(1,MIN(N($F125),$E125)+($E125-MIN(N($F125),$E125))*(1-$I125)))</f>
        <v/>
      </c>
      <c r="U125" s="23" t="str">
        <f aca="false">IF(OR($T125="",$Q125=""),"",1-(1-$T125)^$Q125)</f>
        <v/>
      </c>
      <c r="V125" s="23" t="str">
        <f aca="false">IF($M125&lt;&gt;"",$M125,IF($G125="","",MAX(1,(Setup!$B$6/$G125)^Setup!$B$7)))</f>
        <v/>
      </c>
      <c r="W125" s="22" t="str">
        <f aca="false">IF(COUNT($J125:$L125)&lt;3,"",Setup!$B$10*(6-$J125)+Setup!$B$11*$K125+Setup!$B$12*$L125)</f>
        <v/>
      </c>
      <c r="X125" s="23" t="str">
        <f aca="false">IF($W125="","",IF(LEFT(Setup!$B$15,1)="B",EXP(Setup!$B$14*($W125-1)),1+Setup!$B$14*($W125-1)))</f>
        <v/>
      </c>
      <c r="Y125" s="23" t="str">
        <f aca="false">IF($N125&lt;&gt;"",$N125,$X125)</f>
        <v/>
      </c>
      <c r="Z125" s="22" t="str">
        <f aca="false">IF(OR($H125="",$U125="",$V125=""),"",$H125*$U125*$V125)</f>
        <v/>
      </c>
      <c r="AA125" s="22" t="str">
        <f aca="false">IF(OR($Z125="",$Y125=""),"",$Z125*$Y125)</f>
        <v/>
      </c>
      <c r="AB125" s="1" t="str">
        <f aca="false">IF($A125="","",IF(OR($E125="",$G125="",$H125="",$I125="",AND($N125="",COUNT($J125:$L125)&lt;3)),"Missing: "&amp;IF($E125="","P ","")&amp;IF($G125="","T ","")&amp;IF($H125="","I ","")&amp;IF($I125="","C ","")&amp;IF(AND($N125="",COUNT($J125:$L125)&lt;3),"C_ctrl/C_ext/C_irr",""),IF(N($F125)&gt;$E125,"P_floor &gt; P (floor capped at P)","OK")))</f>
        <v/>
      </c>
      <c r="AC125" s="1" t="str">
        <f aca="false">IF($AA125="","",$AA125+ROW()/1000000)</f>
        <v/>
      </c>
      <c r="AD125" s="18" t="n">
        <f aca="false">IF(AND($A125&lt;&gt;"",ISNUMBER($AA125)),1,0)</f>
        <v>0</v>
      </c>
      <c r="AE125" s="18" t="n">
        <f aca="false">IF($AD125=1,$H125,0)</f>
        <v>0</v>
      </c>
      <c r="AF125" s="18" t="n">
        <f aca="false">IF($AD125=1,$E125,0)</f>
        <v>0</v>
      </c>
      <c r="AG125" s="18" t="n">
        <f aca="false">IF($AD125=1,MIN(N($F125),$E125),0)</f>
        <v>0</v>
      </c>
      <c r="AH125" s="18" t="n">
        <f aca="false">IF($AD125=1,$I125,0)</f>
        <v>0</v>
      </c>
      <c r="AI125" s="18" t="n">
        <f aca="false">IF($AD125=1,$G125,1)</f>
        <v>1</v>
      </c>
      <c r="AJ125" s="18" t="n">
        <f aca="false">IF($AD125=1,$V125,1)</f>
        <v>1</v>
      </c>
      <c r="AK125" s="18" t="n">
        <f aca="false">IF($AD125=1,$Y125,1)</f>
        <v>1</v>
      </c>
    </row>
    <row r="126" customFormat="false" ht="15" hidden="false" customHeight="false" outlineLevel="0" collapsed="false">
      <c r="A126" s="10"/>
      <c r="B126" s="10"/>
      <c r="C126" s="12"/>
      <c r="D126" s="17"/>
      <c r="E126" s="13"/>
      <c r="F126" s="21"/>
      <c r="G126" s="12"/>
      <c r="H126" s="12"/>
      <c r="I126" s="12"/>
      <c r="J126" s="12"/>
      <c r="K126" s="12"/>
      <c r="L126" s="12"/>
      <c r="M126" s="15"/>
      <c r="N126" s="15"/>
      <c r="O126" s="12"/>
      <c r="P126" s="17"/>
      <c r="Q126" s="22" t="str">
        <f aca="false">IF(OR($G126="",Setup!$B$5=""),"",Setup!$B$5/$G126)</f>
        <v/>
      </c>
      <c r="R126" s="23" t="str">
        <f aca="false">IF(OR($E126="",$Q126=""),"",1-(1-$E126)^$Q126)</f>
        <v/>
      </c>
      <c r="S126" s="22" t="str">
        <f aca="false">IF(OR($R126="",$H126=""),"",$H126*$R126)</f>
        <v/>
      </c>
      <c r="T126" s="23" t="str">
        <f aca="false">IF(OR($E126="",$I126=""),"",MIN(1,MIN(N($F126),$E126)+($E126-MIN(N($F126),$E126))*(1-$I126)))</f>
        <v/>
      </c>
      <c r="U126" s="23" t="str">
        <f aca="false">IF(OR($T126="",$Q126=""),"",1-(1-$T126)^$Q126)</f>
        <v/>
      </c>
      <c r="V126" s="23" t="str">
        <f aca="false">IF($M126&lt;&gt;"",$M126,IF($G126="","",MAX(1,(Setup!$B$6/$G126)^Setup!$B$7)))</f>
        <v/>
      </c>
      <c r="W126" s="22" t="str">
        <f aca="false">IF(COUNT($J126:$L126)&lt;3,"",Setup!$B$10*(6-$J126)+Setup!$B$11*$K126+Setup!$B$12*$L126)</f>
        <v/>
      </c>
      <c r="X126" s="23" t="str">
        <f aca="false">IF($W126="","",IF(LEFT(Setup!$B$15,1)="B",EXP(Setup!$B$14*($W126-1)),1+Setup!$B$14*($W126-1)))</f>
        <v/>
      </c>
      <c r="Y126" s="23" t="str">
        <f aca="false">IF($N126&lt;&gt;"",$N126,$X126)</f>
        <v/>
      </c>
      <c r="Z126" s="22" t="str">
        <f aca="false">IF(OR($H126="",$U126="",$V126=""),"",$H126*$U126*$V126)</f>
        <v/>
      </c>
      <c r="AA126" s="22" t="str">
        <f aca="false">IF(OR($Z126="",$Y126=""),"",$Z126*$Y126)</f>
        <v/>
      </c>
      <c r="AB126" s="1" t="str">
        <f aca="false">IF($A126="","",IF(OR($E126="",$G126="",$H126="",$I126="",AND($N126="",COUNT($J126:$L126)&lt;3)),"Missing: "&amp;IF($E126="","P ","")&amp;IF($G126="","T ","")&amp;IF($H126="","I ","")&amp;IF($I126="","C ","")&amp;IF(AND($N126="",COUNT($J126:$L126)&lt;3),"C_ctrl/C_ext/C_irr",""),IF(N($F126)&gt;$E126,"P_floor &gt; P (floor capped at P)","OK")))</f>
        <v/>
      </c>
      <c r="AC126" s="1" t="str">
        <f aca="false">IF($AA126="","",$AA126+ROW()/1000000)</f>
        <v/>
      </c>
      <c r="AD126" s="18" t="n">
        <f aca="false">IF(AND($A126&lt;&gt;"",ISNUMBER($AA126)),1,0)</f>
        <v>0</v>
      </c>
      <c r="AE126" s="18" t="n">
        <f aca="false">IF($AD126=1,$H126,0)</f>
        <v>0</v>
      </c>
      <c r="AF126" s="18" t="n">
        <f aca="false">IF($AD126=1,$E126,0)</f>
        <v>0</v>
      </c>
      <c r="AG126" s="18" t="n">
        <f aca="false">IF($AD126=1,MIN(N($F126),$E126),0)</f>
        <v>0</v>
      </c>
      <c r="AH126" s="18" t="n">
        <f aca="false">IF($AD126=1,$I126,0)</f>
        <v>0</v>
      </c>
      <c r="AI126" s="18" t="n">
        <f aca="false">IF($AD126=1,$G126,1)</f>
        <v>1</v>
      </c>
      <c r="AJ126" s="18" t="n">
        <f aca="false">IF($AD126=1,$V126,1)</f>
        <v>1</v>
      </c>
      <c r="AK126" s="18" t="n">
        <f aca="false">IF($AD126=1,$Y126,1)</f>
        <v>1</v>
      </c>
    </row>
    <row r="127" customFormat="false" ht="15" hidden="false" customHeight="false" outlineLevel="0" collapsed="false">
      <c r="A127" s="10"/>
      <c r="B127" s="10"/>
      <c r="C127" s="12"/>
      <c r="D127" s="17"/>
      <c r="E127" s="13"/>
      <c r="F127" s="21"/>
      <c r="G127" s="12"/>
      <c r="H127" s="12"/>
      <c r="I127" s="12"/>
      <c r="J127" s="12"/>
      <c r="K127" s="12"/>
      <c r="L127" s="12"/>
      <c r="M127" s="15"/>
      <c r="N127" s="15"/>
      <c r="O127" s="12"/>
      <c r="P127" s="17"/>
      <c r="Q127" s="22" t="str">
        <f aca="false">IF(OR($G127="",Setup!$B$5=""),"",Setup!$B$5/$G127)</f>
        <v/>
      </c>
      <c r="R127" s="23" t="str">
        <f aca="false">IF(OR($E127="",$Q127=""),"",1-(1-$E127)^$Q127)</f>
        <v/>
      </c>
      <c r="S127" s="22" t="str">
        <f aca="false">IF(OR($R127="",$H127=""),"",$H127*$R127)</f>
        <v/>
      </c>
      <c r="T127" s="23" t="str">
        <f aca="false">IF(OR($E127="",$I127=""),"",MIN(1,MIN(N($F127),$E127)+($E127-MIN(N($F127),$E127))*(1-$I127)))</f>
        <v/>
      </c>
      <c r="U127" s="23" t="str">
        <f aca="false">IF(OR($T127="",$Q127=""),"",1-(1-$T127)^$Q127)</f>
        <v/>
      </c>
      <c r="V127" s="23" t="str">
        <f aca="false">IF($M127&lt;&gt;"",$M127,IF($G127="","",MAX(1,(Setup!$B$6/$G127)^Setup!$B$7)))</f>
        <v/>
      </c>
      <c r="W127" s="22" t="str">
        <f aca="false">IF(COUNT($J127:$L127)&lt;3,"",Setup!$B$10*(6-$J127)+Setup!$B$11*$K127+Setup!$B$12*$L127)</f>
        <v/>
      </c>
      <c r="X127" s="23" t="str">
        <f aca="false">IF($W127="","",IF(LEFT(Setup!$B$15,1)="B",EXP(Setup!$B$14*($W127-1)),1+Setup!$B$14*($W127-1)))</f>
        <v/>
      </c>
      <c r="Y127" s="23" t="str">
        <f aca="false">IF($N127&lt;&gt;"",$N127,$X127)</f>
        <v/>
      </c>
      <c r="Z127" s="22" t="str">
        <f aca="false">IF(OR($H127="",$U127="",$V127=""),"",$H127*$U127*$V127)</f>
        <v/>
      </c>
      <c r="AA127" s="22" t="str">
        <f aca="false">IF(OR($Z127="",$Y127=""),"",$Z127*$Y127)</f>
        <v/>
      </c>
      <c r="AB127" s="1" t="str">
        <f aca="false">IF($A127="","",IF(OR($E127="",$G127="",$H127="",$I127="",AND($N127="",COUNT($J127:$L127)&lt;3)),"Missing: "&amp;IF($E127="","P ","")&amp;IF($G127="","T ","")&amp;IF($H127="","I ","")&amp;IF($I127="","C ","")&amp;IF(AND($N127="",COUNT($J127:$L127)&lt;3),"C_ctrl/C_ext/C_irr",""),IF(N($F127)&gt;$E127,"P_floor &gt; P (floor capped at P)","OK")))</f>
        <v/>
      </c>
      <c r="AC127" s="1" t="str">
        <f aca="false">IF($AA127="","",$AA127+ROW()/1000000)</f>
        <v/>
      </c>
      <c r="AD127" s="18" t="n">
        <f aca="false">IF(AND($A127&lt;&gt;"",ISNUMBER($AA127)),1,0)</f>
        <v>0</v>
      </c>
      <c r="AE127" s="18" t="n">
        <f aca="false">IF($AD127=1,$H127,0)</f>
        <v>0</v>
      </c>
      <c r="AF127" s="18" t="n">
        <f aca="false">IF($AD127=1,$E127,0)</f>
        <v>0</v>
      </c>
      <c r="AG127" s="18" t="n">
        <f aca="false">IF($AD127=1,MIN(N($F127),$E127),0)</f>
        <v>0</v>
      </c>
      <c r="AH127" s="18" t="n">
        <f aca="false">IF($AD127=1,$I127,0)</f>
        <v>0</v>
      </c>
      <c r="AI127" s="18" t="n">
        <f aca="false">IF($AD127=1,$G127,1)</f>
        <v>1</v>
      </c>
      <c r="AJ127" s="18" t="n">
        <f aca="false">IF($AD127=1,$V127,1)</f>
        <v>1</v>
      </c>
      <c r="AK127" s="18" t="n">
        <f aca="false">IF($AD127=1,$Y127,1)</f>
        <v>1</v>
      </c>
    </row>
    <row r="128" customFormat="false" ht="15" hidden="false" customHeight="false" outlineLevel="0" collapsed="false">
      <c r="A128" s="10"/>
      <c r="B128" s="10"/>
      <c r="C128" s="12"/>
      <c r="D128" s="17"/>
      <c r="E128" s="13"/>
      <c r="F128" s="21"/>
      <c r="G128" s="12"/>
      <c r="H128" s="12"/>
      <c r="I128" s="12"/>
      <c r="J128" s="12"/>
      <c r="K128" s="12"/>
      <c r="L128" s="12"/>
      <c r="M128" s="15"/>
      <c r="N128" s="15"/>
      <c r="O128" s="12"/>
      <c r="P128" s="17"/>
      <c r="Q128" s="22" t="str">
        <f aca="false">IF(OR($G128="",Setup!$B$5=""),"",Setup!$B$5/$G128)</f>
        <v/>
      </c>
      <c r="R128" s="23" t="str">
        <f aca="false">IF(OR($E128="",$Q128=""),"",1-(1-$E128)^$Q128)</f>
        <v/>
      </c>
      <c r="S128" s="22" t="str">
        <f aca="false">IF(OR($R128="",$H128=""),"",$H128*$R128)</f>
        <v/>
      </c>
      <c r="T128" s="23" t="str">
        <f aca="false">IF(OR($E128="",$I128=""),"",MIN(1,MIN(N($F128),$E128)+($E128-MIN(N($F128),$E128))*(1-$I128)))</f>
        <v/>
      </c>
      <c r="U128" s="23" t="str">
        <f aca="false">IF(OR($T128="",$Q128=""),"",1-(1-$T128)^$Q128)</f>
        <v/>
      </c>
      <c r="V128" s="23" t="str">
        <f aca="false">IF($M128&lt;&gt;"",$M128,IF($G128="","",MAX(1,(Setup!$B$6/$G128)^Setup!$B$7)))</f>
        <v/>
      </c>
      <c r="W128" s="22" t="str">
        <f aca="false">IF(COUNT($J128:$L128)&lt;3,"",Setup!$B$10*(6-$J128)+Setup!$B$11*$K128+Setup!$B$12*$L128)</f>
        <v/>
      </c>
      <c r="X128" s="23" t="str">
        <f aca="false">IF($W128="","",IF(LEFT(Setup!$B$15,1)="B",EXP(Setup!$B$14*($W128-1)),1+Setup!$B$14*($W128-1)))</f>
        <v/>
      </c>
      <c r="Y128" s="23" t="str">
        <f aca="false">IF($N128&lt;&gt;"",$N128,$X128)</f>
        <v/>
      </c>
      <c r="Z128" s="22" t="str">
        <f aca="false">IF(OR($H128="",$U128="",$V128=""),"",$H128*$U128*$V128)</f>
        <v/>
      </c>
      <c r="AA128" s="22" t="str">
        <f aca="false">IF(OR($Z128="",$Y128=""),"",$Z128*$Y128)</f>
        <v/>
      </c>
      <c r="AB128" s="1" t="str">
        <f aca="false">IF($A128="","",IF(OR($E128="",$G128="",$H128="",$I128="",AND($N128="",COUNT($J128:$L128)&lt;3)),"Missing: "&amp;IF($E128="","P ","")&amp;IF($G128="","T ","")&amp;IF($H128="","I ","")&amp;IF($I128="","C ","")&amp;IF(AND($N128="",COUNT($J128:$L128)&lt;3),"C_ctrl/C_ext/C_irr",""),IF(N($F128)&gt;$E128,"P_floor &gt; P (floor capped at P)","OK")))</f>
        <v/>
      </c>
      <c r="AC128" s="1" t="str">
        <f aca="false">IF($AA128="","",$AA128+ROW()/1000000)</f>
        <v/>
      </c>
      <c r="AD128" s="18" t="n">
        <f aca="false">IF(AND($A128&lt;&gt;"",ISNUMBER($AA128)),1,0)</f>
        <v>0</v>
      </c>
      <c r="AE128" s="18" t="n">
        <f aca="false">IF($AD128=1,$H128,0)</f>
        <v>0</v>
      </c>
      <c r="AF128" s="18" t="n">
        <f aca="false">IF($AD128=1,$E128,0)</f>
        <v>0</v>
      </c>
      <c r="AG128" s="18" t="n">
        <f aca="false">IF($AD128=1,MIN(N($F128),$E128),0)</f>
        <v>0</v>
      </c>
      <c r="AH128" s="18" t="n">
        <f aca="false">IF($AD128=1,$I128,0)</f>
        <v>0</v>
      </c>
      <c r="AI128" s="18" t="n">
        <f aca="false">IF($AD128=1,$G128,1)</f>
        <v>1</v>
      </c>
      <c r="AJ128" s="18" t="n">
        <f aca="false">IF($AD128=1,$V128,1)</f>
        <v>1</v>
      </c>
      <c r="AK128" s="18" t="n">
        <f aca="false">IF($AD128=1,$Y128,1)</f>
        <v>1</v>
      </c>
    </row>
    <row r="129" customFormat="false" ht="15" hidden="false" customHeight="false" outlineLevel="0" collapsed="false">
      <c r="A129" s="10"/>
      <c r="B129" s="10"/>
      <c r="C129" s="12"/>
      <c r="D129" s="17"/>
      <c r="E129" s="13"/>
      <c r="F129" s="21"/>
      <c r="G129" s="12"/>
      <c r="H129" s="12"/>
      <c r="I129" s="12"/>
      <c r="J129" s="12"/>
      <c r="K129" s="12"/>
      <c r="L129" s="12"/>
      <c r="M129" s="15"/>
      <c r="N129" s="15"/>
      <c r="O129" s="12"/>
      <c r="P129" s="17"/>
      <c r="Q129" s="22" t="str">
        <f aca="false">IF(OR($G129="",Setup!$B$5=""),"",Setup!$B$5/$G129)</f>
        <v/>
      </c>
      <c r="R129" s="23" t="str">
        <f aca="false">IF(OR($E129="",$Q129=""),"",1-(1-$E129)^$Q129)</f>
        <v/>
      </c>
      <c r="S129" s="22" t="str">
        <f aca="false">IF(OR($R129="",$H129=""),"",$H129*$R129)</f>
        <v/>
      </c>
      <c r="T129" s="23" t="str">
        <f aca="false">IF(OR($E129="",$I129=""),"",MIN(1,MIN(N($F129),$E129)+($E129-MIN(N($F129),$E129))*(1-$I129)))</f>
        <v/>
      </c>
      <c r="U129" s="23" t="str">
        <f aca="false">IF(OR($T129="",$Q129=""),"",1-(1-$T129)^$Q129)</f>
        <v/>
      </c>
      <c r="V129" s="23" t="str">
        <f aca="false">IF($M129&lt;&gt;"",$M129,IF($G129="","",MAX(1,(Setup!$B$6/$G129)^Setup!$B$7)))</f>
        <v/>
      </c>
      <c r="W129" s="22" t="str">
        <f aca="false">IF(COUNT($J129:$L129)&lt;3,"",Setup!$B$10*(6-$J129)+Setup!$B$11*$K129+Setup!$B$12*$L129)</f>
        <v/>
      </c>
      <c r="X129" s="23" t="str">
        <f aca="false">IF($W129="","",IF(LEFT(Setup!$B$15,1)="B",EXP(Setup!$B$14*($W129-1)),1+Setup!$B$14*($W129-1)))</f>
        <v/>
      </c>
      <c r="Y129" s="23" t="str">
        <f aca="false">IF($N129&lt;&gt;"",$N129,$X129)</f>
        <v/>
      </c>
      <c r="Z129" s="22" t="str">
        <f aca="false">IF(OR($H129="",$U129="",$V129=""),"",$H129*$U129*$V129)</f>
        <v/>
      </c>
      <c r="AA129" s="22" t="str">
        <f aca="false">IF(OR($Z129="",$Y129=""),"",$Z129*$Y129)</f>
        <v/>
      </c>
      <c r="AB129" s="1" t="str">
        <f aca="false">IF($A129="","",IF(OR($E129="",$G129="",$H129="",$I129="",AND($N129="",COUNT($J129:$L129)&lt;3)),"Missing: "&amp;IF($E129="","P ","")&amp;IF($G129="","T ","")&amp;IF($H129="","I ","")&amp;IF($I129="","C ","")&amp;IF(AND($N129="",COUNT($J129:$L129)&lt;3),"C_ctrl/C_ext/C_irr",""),IF(N($F129)&gt;$E129,"P_floor &gt; P (floor capped at P)","OK")))</f>
        <v/>
      </c>
      <c r="AC129" s="1" t="str">
        <f aca="false">IF($AA129="","",$AA129+ROW()/1000000)</f>
        <v/>
      </c>
      <c r="AD129" s="18" t="n">
        <f aca="false">IF(AND($A129&lt;&gt;"",ISNUMBER($AA129)),1,0)</f>
        <v>0</v>
      </c>
      <c r="AE129" s="18" t="n">
        <f aca="false">IF($AD129=1,$H129,0)</f>
        <v>0</v>
      </c>
      <c r="AF129" s="18" t="n">
        <f aca="false">IF($AD129=1,$E129,0)</f>
        <v>0</v>
      </c>
      <c r="AG129" s="18" t="n">
        <f aca="false">IF($AD129=1,MIN(N($F129),$E129),0)</f>
        <v>0</v>
      </c>
      <c r="AH129" s="18" t="n">
        <f aca="false">IF($AD129=1,$I129,0)</f>
        <v>0</v>
      </c>
      <c r="AI129" s="18" t="n">
        <f aca="false">IF($AD129=1,$G129,1)</f>
        <v>1</v>
      </c>
      <c r="AJ129" s="18" t="n">
        <f aca="false">IF($AD129=1,$V129,1)</f>
        <v>1</v>
      </c>
      <c r="AK129" s="18" t="n">
        <f aca="false">IF($AD129=1,$Y129,1)</f>
        <v>1</v>
      </c>
    </row>
    <row r="130" customFormat="false" ht="15" hidden="false" customHeight="false" outlineLevel="0" collapsed="false">
      <c r="A130" s="10"/>
      <c r="B130" s="10"/>
      <c r="C130" s="12"/>
      <c r="D130" s="17"/>
      <c r="E130" s="13"/>
      <c r="F130" s="21"/>
      <c r="G130" s="12"/>
      <c r="H130" s="12"/>
      <c r="I130" s="12"/>
      <c r="J130" s="12"/>
      <c r="K130" s="12"/>
      <c r="L130" s="12"/>
      <c r="M130" s="15"/>
      <c r="N130" s="15"/>
      <c r="O130" s="12"/>
      <c r="P130" s="17"/>
      <c r="Q130" s="22" t="str">
        <f aca="false">IF(OR($G130="",Setup!$B$5=""),"",Setup!$B$5/$G130)</f>
        <v/>
      </c>
      <c r="R130" s="23" t="str">
        <f aca="false">IF(OR($E130="",$Q130=""),"",1-(1-$E130)^$Q130)</f>
        <v/>
      </c>
      <c r="S130" s="22" t="str">
        <f aca="false">IF(OR($R130="",$H130=""),"",$H130*$R130)</f>
        <v/>
      </c>
      <c r="T130" s="23" t="str">
        <f aca="false">IF(OR($E130="",$I130=""),"",MIN(1,MIN(N($F130),$E130)+($E130-MIN(N($F130),$E130))*(1-$I130)))</f>
        <v/>
      </c>
      <c r="U130" s="23" t="str">
        <f aca="false">IF(OR($T130="",$Q130=""),"",1-(1-$T130)^$Q130)</f>
        <v/>
      </c>
      <c r="V130" s="23" t="str">
        <f aca="false">IF($M130&lt;&gt;"",$M130,IF($G130="","",MAX(1,(Setup!$B$6/$G130)^Setup!$B$7)))</f>
        <v/>
      </c>
      <c r="W130" s="22" t="str">
        <f aca="false">IF(COUNT($J130:$L130)&lt;3,"",Setup!$B$10*(6-$J130)+Setup!$B$11*$K130+Setup!$B$12*$L130)</f>
        <v/>
      </c>
      <c r="X130" s="23" t="str">
        <f aca="false">IF($W130="","",IF(LEFT(Setup!$B$15,1)="B",EXP(Setup!$B$14*($W130-1)),1+Setup!$B$14*($W130-1)))</f>
        <v/>
      </c>
      <c r="Y130" s="23" t="str">
        <f aca="false">IF($N130&lt;&gt;"",$N130,$X130)</f>
        <v/>
      </c>
      <c r="Z130" s="22" t="str">
        <f aca="false">IF(OR($H130="",$U130="",$V130=""),"",$H130*$U130*$V130)</f>
        <v/>
      </c>
      <c r="AA130" s="22" t="str">
        <f aca="false">IF(OR($Z130="",$Y130=""),"",$Z130*$Y130)</f>
        <v/>
      </c>
      <c r="AB130" s="1" t="str">
        <f aca="false">IF($A130="","",IF(OR($E130="",$G130="",$H130="",$I130="",AND($N130="",COUNT($J130:$L130)&lt;3)),"Missing: "&amp;IF($E130="","P ","")&amp;IF($G130="","T ","")&amp;IF($H130="","I ","")&amp;IF($I130="","C ","")&amp;IF(AND($N130="",COUNT($J130:$L130)&lt;3),"C_ctrl/C_ext/C_irr",""),IF(N($F130)&gt;$E130,"P_floor &gt; P (floor capped at P)","OK")))</f>
        <v/>
      </c>
      <c r="AC130" s="1" t="str">
        <f aca="false">IF($AA130="","",$AA130+ROW()/1000000)</f>
        <v/>
      </c>
      <c r="AD130" s="18" t="n">
        <f aca="false">IF(AND($A130&lt;&gt;"",ISNUMBER($AA130)),1,0)</f>
        <v>0</v>
      </c>
      <c r="AE130" s="18" t="n">
        <f aca="false">IF($AD130=1,$H130,0)</f>
        <v>0</v>
      </c>
      <c r="AF130" s="18" t="n">
        <f aca="false">IF($AD130=1,$E130,0)</f>
        <v>0</v>
      </c>
      <c r="AG130" s="18" t="n">
        <f aca="false">IF($AD130=1,MIN(N($F130),$E130),0)</f>
        <v>0</v>
      </c>
      <c r="AH130" s="18" t="n">
        <f aca="false">IF($AD130=1,$I130,0)</f>
        <v>0</v>
      </c>
      <c r="AI130" s="18" t="n">
        <f aca="false">IF($AD130=1,$G130,1)</f>
        <v>1</v>
      </c>
      <c r="AJ130" s="18" t="n">
        <f aca="false">IF($AD130=1,$V130,1)</f>
        <v>1</v>
      </c>
      <c r="AK130" s="18" t="n">
        <f aca="false">IF($AD130=1,$Y130,1)</f>
        <v>1</v>
      </c>
    </row>
    <row r="131" customFormat="false" ht="15" hidden="false" customHeight="false" outlineLevel="0" collapsed="false">
      <c r="A131" s="10"/>
      <c r="B131" s="10"/>
      <c r="C131" s="12"/>
      <c r="D131" s="17"/>
      <c r="E131" s="13"/>
      <c r="F131" s="21"/>
      <c r="G131" s="12"/>
      <c r="H131" s="12"/>
      <c r="I131" s="12"/>
      <c r="J131" s="12"/>
      <c r="K131" s="12"/>
      <c r="L131" s="12"/>
      <c r="M131" s="15"/>
      <c r="N131" s="15"/>
      <c r="O131" s="12"/>
      <c r="P131" s="17"/>
      <c r="Q131" s="22" t="str">
        <f aca="false">IF(OR($G131="",Setup!$B$5=""),"",Setup!$B$5/$G131)</f>
        <v/>
      </c>
      <c r="R131" s="23" t="str">
        <f aca="false">IF(OR($E131="",$Q131=""),"",1-(1-$E131)^$Q131)</f>
        <v/>
      </c>
      <c r="S131" s="22" t="str">
        <f aca="false">IF(OR($R131="",$H131=""),"",$H131*$R131)</f>
        <v/>
      </c>
      <c r="T131" s="23" t="str">
        <f aca="false">IF(OR($E131="",$I131=""),"",MIN(1,MIN(N($F131),$E131)+($E131-MIN(N($F131),$E131))*(1-$I131)))</f>
        <v/>
      </c>
      <c r="U131" s="23" t="str">
        <f aca="false">IF(OR($T131="",$Q131=""),"",1-(1-$T131)^$Q131)</f>
        <v/>
      </c>
      <c r="V131" s="23" t="str">
        <f aca="false">IF($M131&lt;&gt;"",$M131,IF($G131="","",MAX(1,(Setup!$B$6/$G131)^Setup!$B$7)))</f>
        <v/>
      </c>
      <c r="W131" s="22" t="str">
        <f aca="false">IF(COUNT($J131:$L131)&lt;3,"",Setup!$B$10*(6-$J131)+Setup!$B$11*$K131+Setup!$B$12*$L131)</f>
        <v/>
      </c>
      <c r="X131" s="23" t="str">
        <f aca="false">IF($W131="","",IF(LEFT(Setup!$B$15,1)="B",EXP(Setup!$B$14*($W131-1)),1+Setup!$B$14*($W131-1)))</f>
        <v/>
      </c>
      <c r="Y131" s="23" t="str">
        <f aca="false">IF($N131&lt;&gt;"",$N131,$X131)</f>
        <v/>
      </c>
      <c r="Z131" s="22" t="str">
        <f aca="false">IF(OR($H131="",$U131="",$V131=""),"",$H131*$U131*$V131)</f>
        <v/>
      </c>
      <c r="AA131" s="22" t="str">
        <f aca="false">IF(OR($Z131="",$Y131=""),"",$Z131*$Y131)</f>
        <v/>
      </c>
      <c r="AB131" s="1" t="str">
        <f aca="false">IF($A131="","",IF(OR($E131="",$G131="",$H131="",$I131="",AND($N131="",COUNT($J131:$L131)&lt;3)),"Missing: "&amp;IF($E131="","P ","")&amp;IF($G131="","T ","")&amp;IF($H131="","I ","")&amp;IF($I131="","C ","")&amp;IF(AND($N131="",COUNT($J131:$L131)&lt;3),"C_ctrl/C_ext/C_irr",""),IF(N($F131)&gt;$E131,"P_floor &gt; P (floor capped at P)","OK")))</f>
        <v/>
      </c>
      <c r="AC131" s="1" t="str">
        <f aca="false">IF($AA131="","",$AA131+ROW()/1000000)</f>
        <v/>
      </c>
      <c r="AD131" s="18" t="n">
        <f aca="false">IF(AND($A131&lt;&gt;"",ISNUMBER($AA131)),1,0)</f>
        <v>0</v>
      </c>
      <c r="AE131" s="18" t="n">
        <f aca="false">IF($AD131=1,$H131,0)</f>
        <v>0</v>
      </c>
      <c r="AF131" s="18" t="n">
        <f aca="false">IF($AD131=1,$E131,0)</f>
        <v>0</v>
      </c>
      <c r="AG131" s="18" t="n">
        <f aca="false">IF($AD131=1,MIN(N($F131),$E131),0)</f>
        <v>0</v>
      </c>
      <c r="AH131" s="18" t="n">
        <f aca="false">IF($AD131=1,$I131,0)</f>
        <v>0</v>
      </c>
      <c r="AI131" s="18" t="n">
        <f aca="false">IF($AD131=1,$G131,1)</f>
        <v>1</v>
      </c>
      <c r="AJ131" s="18" t="n">
        <f aca="false">IF($AD131=1,$V131,1)</f>
        <v>1</v>
      </c>
      <c r="AK131" s="18" t="n">
        <f aca="false">IF($AD131=1,$Y131,1)</f>
        <v>1</v>
      </c>
    </row>
    <row r="132" customFormat="false" ht="15" hidden="false" customHeight="false" outlineLevel="0" collapsed="false">
      <c r="A132" s="10"/>
      <c r="B132" s="10"/>
      <c r="C132" s="12"/>
      <c r="D132" s="17"/>
      <c r="E132" s="13"/>
      <c r="F132" s="21"/>
      <c r="G132" s="12"/>
      <c r="H132" s="12"/>
      <c r="I132" s="12"/>
      <c r="J132" s="12"/>
      <c r="K132" s="12"/>
      <c r="L132" s="12"/>
      <c r="M132" s="15"/>
      <c r="N132" s="15"/>
      <c r="O132" s="12"/>
      <c r="P132" s="17"/>
      <c r="Q132" s="22" t="str">
        <f aca="false">IF(OR($G132="",Setup!$B$5=""),"",Setup!$B$5/$G132)</f>
        <v/>
      </c>
      <c r="R132" s="23" t="str">
        <f aca="false">IF(OR($E132="",$Q132=""),"",1-(1-$E132)^$Q132)</f>
        <v/>
      </c>
      <c r="S132" s="22" t="str">
        <f aca="false">IF(OR($R132="",$H132=""),"",$H132*$R132)</f>
        <v/>
      </c>
      <c r="T132" s="23" t="str">
        <f aca="false">IF(OR($E132="",$I132=""),"",MIN(1,MIN(N($F132),$E132)+($E132-MIN(N($F132),$E132))*(1-$I132)))</f>
        <v/>
      </c>
      <c r="U132" s="23" t="str">
        <f aca="false">IF(OR($T132="",$Q132=""),"",1-(1-$T132)^$Q132)</f>
        <v/>
      </c>
      <c r="V132" s="23" t="str">
        <f aca="false">IF($M132&lt;&gt;"",$M132,IF($G132="","",MAX(1,(Setup!$B$6/$G132)^Setup!$B$7)))</f>
        <v/>
      </c>
      <c r="W132" s="22" t="str">
        <f aca="false">IF(COUNT($J132:$L132)&lt;3,"",Setup!$B$10*(6-$J132)+Setup!$B$11*$K132+Setup!$B$12*$L132)</f>
        <v/>
      </c>
      <c r="X132" s="23" t="str">
        <f aca="false">IF($W132="","",IF(LEFT(Setup!$B$15,1)="B",EXP(Setup!$B$14*($W132-1)),1+Setup!$B$14*($W132-1)))</f>
        <v/>
      </c>
      <c r="Y132" s="23" t="str">
        <f aca="false">IF($N132&lt;&gt;"",$N132,$X132)</f>
        <v/>
      </c>
      <c r="Z132" s="22" t="str">
        <f aca="false">IF(OR($H132="",$U132="",$V132=""),"",$H132*$U132*$V132)</f>
        <v/>
      </c>
      <c r="AA132" s="22" t="str">
        <f aca="false">IF(OR($Z132="",$Y132=""),"",$Z132*$Y132)</f>
        <v/>
      </c>
      <c r="AB132" s="1" t="str">
        <f aca="false">IF($A132="","",IF(OR($E132="",$G132="",$H132="",$I132="",AND($N132="",COUNT($J132:$L132)&lt;3)),"Missing: "&amp;IF($E132="","P ","")&amp;IF($G132="","T ","")&amp;IF($H132="","I ","")&amp;IF($I132="","C ","")&amp;IF(AND($N132="",COUNT($J132:$L132)&lt;3),"C_ctrl/C_ext/C_irr",""),IF(N($F132)&gt;$E132,"P_floor &gt; P (floor capped at P)","OK")))</f>
        <v/>
      </c>
      <c r="AC132" s="1" t="str">
        <f aca="false">IF($AA132="","",$AA132+ROW()/1000000)</f>
        <v/>
      </c>
      <c r="AD132" s="18" t="n">
        <f aca="false">IF(AND($A132&lt;&gt;"",ISNUMBER($AA132)),1,0)</f>
        <v>0</v>
      </c>
      <c r="AE132" s="18" t="n">
        <f aca="false">IF($AD132=1,$H132,0)</f>
        <v>0</v>
      </c>
      <c r="AF132" s="18" t="n">
        <f aca="false">IF($AD132=1,$E132,0)</f>
        <v>0</v>
      </c>
      <c r="AG132" s="18" t="n">
        <f aca="false">IF($AD132=1,MIN(N($F132),$E132),0)</f>
        <v>0</v>
      </c>
      <c r="AH132" s="18" t="n">
        <f aca="false">IF($AD132=1,$I132,0)</f>
        <v>0</v>
      </c>
      <c r="AI132" s="18" t="n">
        <f aca="false">IF($AD132=1,$G132,1)</f>
        <v>1</v>
      </c>
      <c r="AJ132" s="18" t="n">
        <f aca="false">IF($AD132=1,$V132,1)</f>
        <v>1</v>
      </c>
      <c r="AK132" s="18" t="n">
        <f aca="false">IF($AD132=1,$Y132,1)</f>
        <v>1</v>
      </c>
    </row>
    <row r="133" customFormat="false" ht="15" hidden="false" customHeight="false" outlineLevel="0" collapsed="false">
      <c r="A133" s="10"/>
      <c r="B133" s="10"/>
      <c r="C133" s="12"/>
      <c r="D133" s="17"/>
      <c r="E133" s="13"/>
      <c r="F133" s="21"/>
      <c r="G133" s="12"/>
      <c r="H133" s="12"/>
      <c r="I133" s="12"/>
      <c r="J133" s="12"/>
      <c r="K133" s="12"/>
      <c r="L133" s="12"/>
      <c r="M133" s="15"/>
      <c r="N133" s="15"/>
      <c r="O133" s="12"/>
      <c r="P133" s="17"/>
      <c r="Q133" s="22" t="str">
        <f aca="false">IF(OR($G133="",Setup!$B$5=""),"",Setup!$B$5/$G133)</f>
        <v/>
      </c>
      <c r="R133" s="23" t="str">
        <f aca="false">IF(OR($E133="",$Q133=""),"",1-(1-$E133)^$Q133)</f>
        <v/>
      </c>
      <c r="S133" s="22" t="str">
        <f aca="false">IF(OR($R133="",$H133=""),"",$H133*$R133)</f>
        <v/>
      </c>
      <c r="T133" s="23" t="str">
        <f aca="false">IF(OR($E133="",$I133=""),"",MIN(1,MIN(N($F133),$E133)+($E133-MIN(N($F133),$E133))*(1-$I133)))</f>
        <v/>
      </c>
      <c r="U133" s="23" t="str">
        <f aca="false">IF(OR($T133="",$Q133=""),"",1-(1-$T133)^$Q133)</f>
        <v/>
      </c>
      <c r="V133" s="23" t="str">
        <f aca="false">IF($M133&lt;&gt;"",$M133,IF($G133="","",MAX(1,(Setup!$B$6/$G133)^Setup!$B$7)))</f>
        <v/>
      </c>
      <c r="W133" s="22" t="str">
        <f aca="false">IF(COUNT($J133:$L133)&lt;3,"",Setup!$B$10*(6-$J133)+Setup!$B$11*$K133+Setup!$B$12*$L133)</f>
        <v/>
      </c>
      <c r="X133" s="23" t="str">
        <f aca="false">IF($W133="","",IF(LEFT(Setup!$B$15,1)="B",EXP(Setup!$B$14*($W133-1)),1+Setup!$B$14*($W133-1)))</f>
        <v/>
      </c>
      <c r="Y133" s="23" t="str">
        <f aca="false">IF($N133&lt;&gt;"",$N133,$X133)</f>
        <v/>
      </c>
      <c r="Z133" s="22" t="str">
        <f aca="false">IF(OR($H133="",$U133="",$V133=""),"",$H133*$U133*$V133)</f>
        <v/>
      </c>
      <c r="AA133" s="22" t="str">
        <f aca="false">IF(OR($Z133="",$Y133=""),"",$Z133*$Y133)</f>
        <v/>
      </c>
      <c r="AB133" s="1" t="str">
        <f aca="false">IF($A133="","",IF(OR($E133="",$G133="",$H133="",$I133="",AND($N133="",COUNT($J133:$L133)&lt;3)),"Missing: "&amp;IF($E133="","P ","")&amp;IF($G133="","T ","")&amp;IF($H133="","I ","")&amp;IF($I133="","C ","")&amp;IF(AND($N133="",COUNT($J133:$L133)&lt;3),"C_ctrl/C_ext/C_irr",""),IF(N($F133)&gt;$E133,"P_floor &gt; P (floor capped at P)","OK")))</f>
        <v/>
      </c>
      <c r="AC133" s="1" t="str">
        <f aca="false">IF($AA133="","",$AA133+ROW()/1000000)</f>
        <v/>
      </c>
      <c r="AD133" s="18" t="n">
        <f aca="false">IF(AND($A133&lt;&gt;"",ISNUMBER($AA133)),1,0)</f>
        <v>0</v>
      </c>
      <c r="AE133" s="18" t="n">
        <f aca="false">IF($AD133=1,$H133,0)</f>
        <v>0</v>
      </c>
      <c r="AF133" s="18" t="n">
        <f aca="false">IF($AD133=1,$E133,0)</f>
        <v>0</v>
      </c>
      <c r="AG133" s="18" t="n">
        <f aca="false">IF($AD133=1,MIN(N($F133),$E133),0)</f>
        <v>0</v>
      </c>
      <c r="AH133" s="18" t="n">
        <f aca="false">IF($AD133=1,$I133,0)</f>
        <v>0</v>
      </c>
      <c r="AI133" s="18" t="n">
        <f aca="false">IF($AD133=1,$G133,1)</f>
        <v>1</v>
      </c>
      <c r="AJ133" s="18" t="n">
        <f aca="false">IF($AD133=1,$V133,1)</f>
        <v>1</v>
      </c>
      <c r="AK133" s="18" t="n">
        <f aca="false">IF($AD133=1,$Y133,1)</f>
        <v>1</v>
      </c>
    </row>
    <row r="134" customFormat="false" ht="15" hidden="false" customHeight="false" outlineLevel="0" collapsed="false">
      <c r="A134" s="10"/>
      <c r="B134" s="10"/>
      <c r="C134" s="12"/>
      <c r="D134" s="17"/>
      <c r="E134" s="13"/>
      <c r="F134" s="21"/>
      <c r="G134" s="12"/>
      <c r="H134" s="12"/>
      <c r="I134" s="12"/>
      <c r="J134" s="12"/>
      <c r="K134" s="12"/>
      <c r="L134" s="12"/>
      <c r="M134" s="15"/>
      <c r="N134" s="15"/>
      <c r="O134" s="12"/>
      <c r="P134" s="17"/>
      <c r="Q134" s="22" t="str">
        <f aca="false">IF(OR($G134="",Setup!$B$5=""),"",Setup!$B$5/$G134)</f>
        <v/>
      </c>
      <c r="R134" s="23" t="str">
        <f aca="false">IF(OR($E134="",$Q134=""),"",1-(1-$E134)^$Q134)</f>
        <v/>
      </c>
      <c r="S134" s="22" t="str">
        <f aca="false">IF(OR($R134="",$H134=""),"",$H134*$R134)</f>
        <v/>
      </c>
      <c r="T134" s="23" t="str">
        <f aca="false">IF(OR($E134="",$I134=""),"",MIN(1,MIN(N($F134),$E134)+($E134-MIN(N($F134),$E134))*(1-$I134)))</f>
        <v/>
      </c>
      <c r="U134" s="23" t="str">
        <f aca="false">IF(OR($T134="",$Q134=""),"",1-(1-$T134)^$Q134)</f>
        <v/>
      </c>
      <c r="V134" s="23" t="str">
        <f aca="false">IF($M134&lt;&gt;"",$M134,IF($G134="","",MAX(1,(Setup!$B$6/$G134)^Setup!$B$7)))</f>
        <v/>
      </c>
      <c r="W134" s="22" t="str">
        <f aca="false">IF(COUNT($J134:$L134)&lt;3,"",Setup!$B$10*(6-$J134)+Setup!$B$11*$K134+Setup!$B$12*$L134)</f>
        <v/>
      </c>
      <c r="X134" s="23" t="str">
        <f aca="false">IF($W134="","",IF(LEFT(Setup!$B$15,1)="B",EXP(Setup!$B$14*($W134-1)),1+Setup!$B$14*($W134-1)))</f>
        <v/>
      </c>
      <c r="Y134" s="23" t="str">
        <f aca="false">IF($N134&lt;&gt;"",$N134,$X134)</f>
        <v/>
      </c>
      <c r="Z134" s="22" t="str">
        <f aca="false">IF(OR($H134="",$U134="",$V134=""),"",$H134*$U134*$V134)</f>
        <v/>
      </c>
      <c r="AA134" s="22" t="str">
        <f aca="false">IF(OR($Z134="",$Y134=""),"",$Z134*$Y134)</f>
        <v/>
      </c>
      <c r="AB134" s="1" t="str">
        <f aca="false">IF($A134="","",IF(OR($E134="",$G134="",$H134="",$I134="",AND($N134="",COUNT($J134:$L134)&lt;3)),"Missing: "&amp;IF($E134="","P ","")&amp;IF($G134="","T ","")&amp;IF($H134="","I ","")&amp;IF($I134="","C ","")&amp;IF(AND($N134="",COUNT($J134:$L134)&lt;3),"C_ctrl/C_ext/C_irr",""),IF(N($F134)&gt;$E134,"P_floor &gt; P (floor capped at P)","OK")))</f>
        <v/>
      </c>
      <c r="AC134" s="1" t="str">
        <f aca="false">IF($AA134="","",$AA134+ROW()/1000000)</f>
        <v/>
      </c>
      <c r="AD134" s="18" t="n">
        <f aca="false">IF(AND($A134&lt;&gt;"",ISNUMBER($AA134)),1,0)</f>
        <v>0</v>
      </c>
      <c r="AE134" s="18" t="n">
        <f aca="false">IF($AD134=1,$H134,0)</f>
        <v>0</v>
      </c>
      <c r="AF134" s="18" t="n">
        <f aca="false">IF($AD134=1,$E134,0)</f>
        <v>0</v>
      </c>
      <c r="AG134" s="18" t="n">
        <f aca="false">IF($AD134=1,MIN(N($F134),$E134),0)</f>
        <v>0</v>
      </c>
      <c r="AH134" s="18" t="n">
        <f aca="false">IF($AD134=1,$I134,0)</f>
        <v>0</v>
      </c>
      <c r="AI134" s="18" t="n">
        <f aca="false">IF($AD134=1,$G134,1)</f>
        <v>1</v>
      </c>
      <c r="AJ134" s="18" t="n">
        <f aca="false">IF($AD134=1,$V134,1)</f>
        <v>1</v>
      </c>
      <c r="AK134" s="18" t="n">
        <f aca="false">IF($AD134=1,$Y134,1)</f>
        <v>1</v>
      </c>
    </row>
    <row r="135" customFormat="false" ht="15" hidden="false" customHeight="false" outlineLevel="0" collapsed="false">
      <c r="A135" s="10"/>
      <c r="B135" s="10"/>
      <c r="C135" s="12"/>
      <c r="D135" s="17"/>
      <c r="E135" s="13"/>
      <c r="F135" s="21"/>
      <c r="G135" s="12"/>
      <c r="H135" s="12"/>
      <c r="I135" s="12"/>
      <c r="J135" s="12"/>
      <c r="K135" s="12"/>
      <c r="L135" s="12"/>
      <c r="M135" s="15"/>
      <c r="N135" s="15"/>
      <c r="O135" s="12"/>
      <c r="P135" s="17"/>
      <c r="Q135" s="22" t="str">
        <f aca="false">IF(OR($G135="",Setup!$B$5=""),"",Setup!$B$5/$G135)</f>
        <v/>
      </c>
      <c r="R135" s="23" t="str">
        <f aca="false">IF(OR($E135="",$Q135=""),"",1-(1-$E135)^$Q135)</f>
        <v/>
      </c>
      <c r="S135" s="22" t="str">
        <f aca="false">IF(OR($R135="",$H135=""),"",$H135*$R135)</f>
        <v/>
      </c>
      <c r="T135" s="23" t="str">
        <f aca="false">IF(OR($E135="",$I135=""),"",MIN(1,MIN(N($F135),$E135)+($E135-MIN(N($F135),$E135))*(1-$I135)))</f>
        <v/>
      </c>
      <c r="U135" s="23" t="str">
        <f aca="false">IF(OR($T135="",$Q135=""),"",1-(1-$T135)^$Q135)</f>
        <v/>
      </c>
      <c r="V135" s="23" t="str">
        <f aca="false">IF($M135&lt;&gt;"",$M135,IF($G135="","",MAX(1,(Setup!$B$6/$G135)^Setup!$B$7)))</f>
        <v/>
      </c>
      <c r="W135" s="22" t="str">
        <f aca="false">IF(COUNT($J135:$L135)&lt;3,"",Setup!$B$10*(6-$J135)+Setup!$B$11*$K135+Setup!$B$12*$L135)</f>
        <v/>
      </c>
      <c r="X135" s="23" t="str">
        <f aca="false">IF($W135="","",IF(LEFT(Setup!$B$15,1)="B",EXP(Setup!$B$14*($W135-1)),1+Setup!$B$14*($W135-1)))</f>
        <v/>
      </c>
      <c r="Y135" s="23" t="str">
        <f aca="false">IF($N135&lt;&gt;"",$N135,$X135)</f>
        <v/>
      </c>
      <c r="Z135" s="22" t="str">
        <f aca="false">IF(OR($H135="",$U135="",$V135=""),"",$H135*$U135*$V135)</f>
        <v/>
      </c>
      <c r="AA135" s="22" t="str">
        <f aca="false">IF(OR($Z135="",$Y135=""),"",$Z135*$Y135)</f>
        <v/>
      </c>
      <c r="AB135" s="1" t="str">
        <f aca="false">IF($A135="","",IF(OR($E135="",$G135="",$H135="",$I135="",AND($N135="",COUNT($J135:$L135)&lt;3)),"Missing: "&amp;IF($E135="","P ","")&amp;IF($G135="","T ","")&amp;IF($H135="","I ","")&amp;IF($I135="","C ","")&amp;IF(AND($N135="",COUNT($J135:$L135)&lt;3),"C_ctrl/C_ext/C_irr",""),IF(N($F135)&gt;$E135,"P_floor &gt; P (floor capped at P)","OK")))</f>
        <v/>
      </c>
      <c r="AC135" s="1" t="str">
        <f aca="false">IF($AA135="","",$AA135+ROW()/1000000)</f>
        <v/>
      </c>
      <c r="AD135" s="18" t="n">
        <f aca="false">IF(AND($A135&lt;&gt;"",ISNUMBER($AA135)),1,0)</f>
        <v>0</v>
      </c>
      <c r="AE135" s="18" t="n">
        <f aca="false">IF($AD135=1,$H135,0)</f>
        <v>0</v>
      </c>
      <c r="AF135" s="18" t="n">
        <f aca="false">IF($AD135=1,$E135,0)</f>
        <v>0</v>
      </c>
      <c r="AG135" s="18" t="n">
        <f aca="false">IF($AD135=1,MIN(N($F135),$E135),0)</f>
        <v>0</v>
      </c>
      <c r="AH135" s="18" t="n">
        <f aca="false">IF($AD135=1,$I135,0)</f>
        <v>0</v>
      </c>
      <c r="AI135" s="18" t="n">
        <f aca="false">IF($AD135=1,$G135,1)</f>
        <v>1</v>
      </c>
      <c r="AJ135" s="18" t="n">
        <f aca="false">IF($AD135=1,$V135,1)</f>
        <v>1</v>
      </c>
      <c r="AK135" s="18" t="n">
        <f aca="false">IF($AD135=1,$Y135,1)</f>
        <v>1</v>
      </c>
    </row>
    <row r="136" customFormat="false" ht="15" hidden="false" customHeight="false" outlineLevel="0" collapsed="false">
      <c r="A136" s="10"/>
      <c r="B136" s="10"/>
      <c r="C136" s="12"/>
      <c r="D136" s="17"/>
      <c r="E136" s="13"/>
      <c r="F136" s="21"/>
      <c r="G136" s="12"/>
      <c r="H136" s="12"/>
      <c r="I136" s="12"/>
      <c r="J136" s="12"/>
      <c r="K136" s="12"/>
      <c r="L136" s="12"/>
      <c r="M136" s="15"/>
      <c r="N136" s="15"/>
      <c r="O136" s="12"/>
      <c r="P136" s="17"/>
      <c r="Q136" s="22" t="str">
        <f aca="false">IF(OR($G136="",Setup!$B$5=""),"",Setup!$B$5/$G136)</f>
        <v/>
      </c>
      <c r="R136" s="23" t="str">
        <f aca="false">IF(OR($E136="",$Q136=""),"",1-(1-$E136)^$Q136)</f>
        <v/>
      </c>
      <c r="S136" s="22" t="str">
        <f aca="false">IF(OR($R136="",$H136=""),"",$H136*$R136)</f>
        <v/>
      </c>
      <c r="T136" s="23" t="str">
        <f aca="false">IF(OR($E136="",$I136=""),"",MIN(1,MIN(N($F136),$E136)+($E136-MIN(N($F136),$E136))*(1-$I136)))</f>
        <v/>
      </c>
      <c r="U136" s="23" t="str">
        <f aca="false">IF(OR($T136="",$Q136=""),"",1-(1-$T136)^$Q136)</f>
        <v/>
      </c>
      <c r="V136" s="23" t="str">
        <f aca="false">IF($M136&lt;&gt;"",$M136,IF($G136="","",MAX(1,(Setup!$B$6/$G136)^Setup!$B$7)))</f>
        <v/>
      </c>
      <c r="W136" s="22" t="str">
        <f aca="false">IF(COUNT($J136:$L136)&lt;3,"",Setup!$B$10*(6-$J136)+Setup!$B$11*$K136+Setup!$B$12*$L136)</f>
        <v/>
      </c>
      <c r="X136" s="23" t="str">
        <f aca="false">IF($W136="","",IF(LEFT(Setup!$B$15,1)="B",EXP(Setup!$B$14*($W136-1)),1+Setup!$B$14*($W136-1)))</f>
        <v/>
      </c>
      <c r="Y136" s="23" t="str">
        <f aca="false">IF($N136&lt;&gt;"",$N136,$X136)</f>
        <v/>
      </c>
      <c r="Z136" s="22" t="str">
        <f aca="false">IF(OR($H136="",$U136="",$V136=""),"",$H136*$U136*$V136)</f>
        <v/>
      </c>
      <c r="AA136" s="22" t="str">
        <f aca="false">IF(OR($Z136="",$Y136=""),"",$Z136*$Y136)</f>
        <v/>
      </c>
      <c r="AB136" s="1" t="str">
        <f aca="false">IF($A136="","",IF(OR($E136="",$G136="",$H136="",$I136="",AND($N136="",COUNT($J136:$L136)&lt;3)),"Missing: "&amp;IF($E136="","P ","")&amp;IF($G136="","T ","")&amp;IF($H136="","I ","")&amp;IF($I136="","C ","")&amp;IF(AND($N136="",COUNT($J136:$L136)&lt;3),"C_ctrl/C_ext/C_irr",""),IF(N($F136)&gt;$E136,"P_floor &gt; P (floor capped at P)","OK")))</f>
        <v/>
      </c>
      <c r="AC136" s="1" t="str">
        <f aca="false">IF($AA136="","",$AA136+ROW()/1000000)</f>
        <v/>
      </c>
      <c r="AD136" s="18" t="n">
        <f aca="false">IF(AND($A136&lt;&gt;"",ISNUMBER($AA136)),1,0)</f>
        <v>0</v>
      </c>
      <c r="AE136" s="18" t="n">
        <f aca="false">IF($AD136=1,$H136,0)</f>
        <v>0</v>
      </c>
      <c r="AF136" s="18" t="n">
        <f aca="false">IF($AD136=1,$E136,0)</f>
        <v>0</v>
      </c>
      <c r="AG136" s="18" t="n">
        <f aca="false">IF($AD136=1,MIN(N($F136),$E136),0)</f>
        <v>0</v>
      </c>
      <c r="AH136" s="18" t="n">
        <f aca="false">IF($AD136=1,$I136,0)</f>
        <v>0</v>
      </c>
      <c r="AI136" s="18" t="n">
        <f aca="false">IF($AD136=1,$G136,1)</f>
        <v>1</v>
      </c>
      <c r="AJ136" s="18" t="n">
        <f aca="false">IF($AD136=1,$V136,1)</f>
        <v>1</v>
      </c>
      <c r="AK136" s="18" t="n">
        <f aca="false">IF($AD136=1,$Y136,1)</f>
        <v>1</v>
      </c>
    </row>
    <row r="137" customFormat="false" ht="15" hidden="false" customHeight="false" outlineLevel="0" collapsed="false">
      <c r="A137" s="10"/>
      <c r="B137" s="10"/>
      <c r="C137" s="12"/>
      <c r="D137" s="17"/>
      <c r="E137" s="13"/>
      <c r="F137" s="21"/>
      <c r="G137" s="12"/>
      <c r="H137" s="12"/>
      <c r="I137" s="12"/>
      <c r="J137" s="12"/>
      <c r="K137" s="12"/>
      <c r="L137" s="12"/>
      <c r="M137" s="15"/>
      <c r="N137" s="15"/>
      <c r="O137" s="12"/>
      <c r="P137" s="17"/>
      <c r="Q137" s="22" t="str">
        <f aca="false">IF(OR($G137="",Setup!$B$5=""),"",Setup!$B$5/$G137)</f>
        <v/>
      </c>
      <c r="R137" s="23" t="str">
        <f aca="false">IF(OR($E137="",$Q137=""),"",1-(1-$E137)^$Q137)</f>
        <v/>
      </c>
      <c r="S137" s="22" t="str">
        <f aca="false">IF(OR($R137="",$H137=""),"",$H137*$R137)</f>
        <v/>
      </c>
      <c r="T137" s="23" t="str">
        <f aca="false">IF(OR($E137="",$I137=""),"",MIN(1,MIN(N($F137),$E137)+($E137-MIN(N($F137),$E137))*(1-$I137)))</f>
        <v/>
      </c>
      <c r="U137" s="23" t="str">
        <f aca="false">IF(OR($T137="",$Q137=""),"",1-(1-$T137)^$Q137)</f>
        <v/>
      </c>
      <c r="V137" s="23" t="str">
        <f aca="false">IF($M137&lt;&gt;"",$M137,IF($G137="","",MAX(1,(Setup!$B$6/$G137)^Setup!$B$7)))</f>
        <v/>
      </c>
      <c r="W137" s="22" t="str">
        <f aca="false">IF(COUNT($J137:$L137)&lt;3,"",Setup!$B$10*(6-$J137)+Setup!$B$11*$K137+Setup!$B$12*$L137)</f>
        <v/>
      </c>
      <c r="X137" s="23" t="str">
        <f aca="false">IF($W137="","",IF(LEFT(Setup!$B$15,1)="B",EXP(Setup!$B$14*($W137-1)),1+Setup!$B$14*($W137-1)))</f>
        <v/>
      </c>
      <c r="Y137" s="23" t="str">
        <f aca="false">IF($N137&lt;&gt;"",$N137,$X137)</f>
        <v/>
      </c>
      <c r="Z137" s="22" t="str">
        <f aca="false">IF(OR($H137="",$U137="",$V137=""),"",$H137*$U137*$V137)</f>
        <v/>
      </c>
      <c r="AA137" s="22" t="str">
        <f aca="false">IF(OR($Z137="",$Y137=""),"",$Z137*$Y137)</f>
        <v/>
      </c>
      <c r="AB137" s="1" t="str">
        <f aca="false">IF($A137="","",IF(OR($E137="",$G137="",$H137="",$I137="",AND($N137="",COUNT($J137:$L137)&lt;3)),"Missing: "&amp;IF($E137="","P ","")&amp;IF($G137="","T ","")&amp;IF($H137="","I ","")&amp;IF($I137="","C ","")&amp;IF(AND($N137="",COUNT($J137:$L137)&lt;3),"C_ctrl/C_ext/C_irr",""),IF(N($F137)&gt;$E137,"P_floor &gt; P (floor capped at P)","OK")))</f>
        <v/>
      </c>
      <c r="AC137" s="1" t="str">
        <f aca="false">IF($AA137="","",$AA137+ROW()/1000000)</f>
        <v/>
      </c>
      <c r="AD137" s="18" t="n">
        <f aca="false">IF(AND($A137&lt;&gt;"",ISNUMBER($AA137)),1,0)</f>
        <v>0</v>
      </c>
      <c r="AE137" s="18" t="n">
        <f aca="false">IF($AD137=1,$H137,0)</f>
        <v>0</v>
      </c>
      <c r="AF137" s="18" t="n">
        <f aca="false">IF($AD137=1,$E137,0)</f>
        <v>0</v>
      </c>
      <c r="AG137" s="18" t="n">
        <f aca="false">IF($AD137=1,MIN(N($F137),$E137),0)</f>
        <v>0</v>
      </c>
      <c r="AH137" s="18" t="n">
        <f aca="false">IF($AD137=1,$I137,0)</f>
        <v>0</v>
      </c>
      <c r="AI137" s="18" t="n">
        <f aca="false">IF($AD137=1,$G137,1)</f>
        <v>1</v>
      </c>
      <c r="AJ137" s="18" t="n">
        <f aca="false">IF($AD137=1,$V137,1)</f>
        <v>1</v>
      </c>
      <c r="AK137" s="18" t="n">
        <f aca="false">IF($AD137=1,$Y137,1)</f>
        <v>1</v>
      </c>
    </row>
    <row r="138" customFormat="false" ht="15" hidden="false" customHeight="false" outlineLevel="0" collapsed="false">
      <c r="A138" s="10"/>
      <c r="B138" s="10"/>
      <c r="C138" s="12"/>
      <c r="D138" s="17"/>
      <c r="E138" s="13"/>
      <c r="F138" s="21"/>
      <c r="G138" s="12"/>
      <c r="H138" s="12"/>
      <c r="I138" s="12"/>
      <c r="J138" s="12"/>
      <c r="K138" s="12"/>
      <c r="L138" s="12"/>
      <c r="M138" s="15"/>
      <c r="N138" s="15"/>
      <c r="O138" s="12"/>
      <c r="P138" s="17"/>
      <c r="Q138" s="22" t="str">
        <f aca="false">IF(OR($G138="",Setup!$B$5=""),"",Setup!$B$5/$G138)</f>
        <v/>
      </c>
      <c r="R138" s="23" t="str">
        <f aca="false">IF(OR($E138="",$Q138=""),"",1-(1-$E138)^$Q138)</f>
        <v/>
      </c>
      <c r="S138" s="22" t="str">
        <f aca="false">IF(OR($R138="",$H138=""),"",$H138*$R138)</f>
        <v/>
      </c>
      <c r="T138" s="23" t="str">
        <f aca="false">IF(OR($E138="",$I138=""),"",MIN(1,MIN(N($F138),$E138)+($E138-MIN(N($F138),$E138))*(1-$I138)))</f>
        <v/>
      </c>
      <c r="U138" s="23" t="str">
        <f aca="false">IF(OR($T138="",$Q138=""),"",1-(1-$T138)^$Q138)</f>
        <v/>
      </c>
      <c r="V138" s="23" t="str">
        <f aca="false">IF($M138&lt;&gt;"",$M138,IF($G138="","",MAX(1,(Setup!$B$6/$G138)^Setup!$B$7)))</f>
        <v/>
      </c>
      <c r="W138" s="22" t="str">
        <f aca="false">IF(COUNT($J138:$L138)&lt;3,"",Setup!$B$10*(6-$J138)+Setup!$B$11*$K138+Setup!$B$12*$L138)</f>
        <v/>
      </c>
      <c r="X138" s="23" t="str">
        <f aca="false">IF($W138="","",IF(LEFT(Setup!$B$15,1)="B",EXP(Setup!$B$14*($W138-1)),1+Setup!$B$14*($W138-1)))</f>
        <v/>
      </c>
      <c r="Y138" s="23" t="str">
        <f aca="false">IF($N138&lt;&gt;"",$N138,$X138)</f>
        <v/>
      </c>
      <c r="Z138" s="22" t="str">
        <f aca="false">IF(OR($H138="",$U138="",$V138=""),"",$H138*$U138*$V138)</f>
        <v/>
      </c>
      <c r="AA138" s="22" t="str">
        <f aca="false">IF(OR($Z138="",$Y138=""),"",$Z138*$Y138)</f>
        <v/>
      </c>
      <c r="AB138" s="1" t="str">
        <f aca="false">IF($A138="","",IF(OR($E138="",$G138="",$H138="",$I138="",AND($N138="",COUNT($J138:$L138)&lt;3)),"Missing: "&amp;IF($E138="","P ","")&amp;IF($G138="","T ","")&amp;IF($H138="","I ","")&amp;IF($I138="","C ","")&amp;IF(AND($N138="",COUNT($J138:$L138)&lt;3),"C_ctrl/C_ext/C_irr",""),IF(N($F138)&gt;$E138,"P_floor &gt; P (floor capped at P)","OK")))</f>
        <v/>
      </c>
      <c r="AC138" s="1" t="str">
        <f aca="false">IF($AA138="","",$AA138+ROW()/1000000)</f>
        <v/>
      </c>
      <c r="AD138" s="18" t="n">
        <f aca="false">IF(AND($A138&lt;&gt;"",ISNUMBER($AA138)),1,0)</f>
        <v>0</v>
      </c>
      <c r="AE138" s="18" t="n">
        <f aca="false">IF($AD138=1,$H138,0)</f>
        <v>0</v>
      </c>
      <c r="AF138" s="18" t="n">
        <f aca="false">IF($AD138=1,$E138,0)</f>
        <v>0</v>
      </c>
      <c r="AG138" s="18" t="n">
        <f aca="false">IF($AD138=1,MIN(N($F138),$E138),0)</f>
        <v>0</v>
      </c>
      <c r="AH138" s="18" t="n">
        <f aca="false">IF($AD138=1,$I138,0)</f>
        <v>0</v>
      </c>
      <c r="AI138" s="18" t="n">
        <f aca="false">IF($AD138=1,$G138,1)</f>
        <v>1</v>
      </c>
      <c r="AJ138" s="18" t="n">
        <f aca="false">IF($AD138=1,$V138,1)</f>
        <v>1</v>
      </c>
      <c r="AK138" s="18" t="n">
        <f aca="false">IF($AD138=1,$Y138,1)</f>
        <v>1</v>
      </c>
    </row>
    <row r="139" customFormat="false" ht="15" hidden="false" customHeight="false" outlineLevel="0" collapsed="false">
      <c r="A139" s="10"/>
      <c r="B139" s="10"/>
      <c r="C139" s="12"/>
      <c r="D139" s="17"/>
      <c r="E139" s="13"/>
      <c r="F139" s="21"/>
      <c r="G139" s="12"/>
      <c r="H139" s="12"/>
      <c r="I139" s="12"/>
      <c r="J139" s="12"/>
      <c r="K139" s="12"/>
      <c r="L139" s="12"/>
      <c r="M139" s="15"/>
      <c r="N139" s="15"/>
      <c r="O139" s="12"/>
      <c r="P139" s="17"/>
      <c r="Q139" s="22" t="str">
        <f aca="false">IF(OR($G139="",Setup!$B$5=""),"",Setup!$B$5/$G139)</f>
        <v/>
      </c>
      <c r="R139" s="23" t="str">
        <f aca="false">IF(OR($E139="",$Q139=""),"",1-(1-$E139)^$Q139)</f>
        <v/>
      </c>
      <c r="S139" s="22" t="str">
        <f aca="false">IF(OR($R139="",$H139=""),"",$H139*$R139)</f>
        <v/>
      </c>
      <c r="T139" s="23" t="str">
        <f aca="false">IF(OR($E139="",$I139=""),"",MIN(1,MIN(N($F139),$E139)+($E139-MIN(N($F139),$E139))*(1-$I139)))</f>
        <v/>
      </c>
      <c r="U139" s="23" t="str">
        <f aca="false">IF(OR($T139="",$Q139=""),"",1-(1-$T139)^$Q139)</f>
        <v/>
      </c>
      <c r="V139" s="23" t="str">
        <f aca="false">IF($M139&lt;&gt;"",$M139,IF($G139="","",MAX(1,(Setup!$B$6/$G139)^Setup!$B$7)))</f>
        <v/>
      </c>
      <c r="W139" s="22" t="str">
        <f aca="false">IF(COUNT($J139:$L139)&lt;3,"",Setup!$B$10*(6-$J139)+Setup!$B$11*$K139+Setup!$B$12*$L139)</f>
        <v/>
      </c>
      <c r="X139" s="23" t="str">
        <f aca="false">IF($W139="","",IF(LEFT(Setup!$B$15,1)="B",EXP(Setup!$B$14*($W139-1)),1+Setup!$B$14*($W139-1)))</f>
        <v/>
      </c>
      <c r="Y139" s="23" t="str">
        <f aca="false">IF($N139&lt;&gt;"",$N139,$X139)</f>
        <v/>
      </c>
      <c r="Z139" s="22" t="str">
        <f aca="false">IF(OR($H139="",$U139="",$V139=""),"",$H139*$U139*$V139)</f>
        <v/>
      </c>
      <c r="AA139" s="22" t="str">
        <f aca="false">IF(OR($Z139="",$Y139=""),"",$Z139*$Y139)</f>
        <v/>
      </c>
      <c r="AB139" s="1" t="str">
        <f aca="false">IF($A139="","",IF(OR($E139="",$G139="",$H139="",$I139="",AND($N139="",COUNT($J139:$L139)&lt;3)),"Missing: "&amp;IF($E139="","P ","")&amp;IF($G139="","T ","")&amp;IF($H139="","I ","")&amp;IF($I139="","C ","")&amp;IF(AND($N139="",COUNT($J139:$L139)&lt;3),"C_ctrl/C_ext/C_irr",""),IF(N($F139)&gt;$E139,"P_floor &gt; P (floor capped at P)","OK")))</f>
        <v/>
      </c>
      <c r="AC139" s="1" t="str">
        <f aca="false">IF($AA139="","",$AA139+ROW()/1000000)</f>
        <v/>
      </c>
      <c r="AD139" s="18" t="n">
        <f aca="false">IF(AND($A139&lt;&gt;"",ISNUMBER($AA139)),1,0)</f>
        <v>0</v>
      </c>
      <c r="AE139" s="18" t="n">
        <f aca="false">IF($AD139=1,$H139,0)</f>
        <v>0</v>
      </c>
      <c r="AF139" s="18" t="n">
        <f aca="false">IF($AD139=1,$E139,0)</f>
        <v>0</v>
      </c>
      <c r="AG139" s="18" t="n">
        <f aca="false">IF($AD139=1,MIN(N($F139),$E139),0)</f>
        <v>0</v>
      </c>
      <c r="AH139" s="18" t="n">
        <f aca="false">IF($AD139=1,$I139,0)</f>
        <v>0</v>
      </c>
      <c r="AI139" s="18" t="n">
        <f aca="false">IF($AD139=1,$G139,1)</f>
        <v>1</v>
      </c>
      <c r="AJ139" s="18" t="n">
        <f aca="false">IF($AD139=1,$V139,1)</f>
        <v>1</v>
      </c>
      <c r="AK139" s="18" t="n">
        <f aca="false">IF($AD139=1,$Y139,1)</f>
        <v>1</v>
      </c>
    </row>
    <row r="140" customFormat="false" ht="15" hidden="false" customHeight="false" outlineLevel="0" collapsed="false">
      <c r="A140" s="10"/>
      <c r="B140" s="10"/>
      <c r="C140" s="12"/>
      <c r="D140" s="17"/>
      <c r="E140" s="13"/>
      <c r="F140" s="21"/>
      <c r="G140" s="12"/>
      <c r="H140" s="12"/>
      <c r="I140" s="12"/>
      <c r="J140" s="12"/>
      <c r="K140" s="12"/>
      <c r="L140" s="12"/>
      <c r="M140" s="15"/>
      <c r="N140" s="15"/>
      <c r="O140" s="12"/>
      <c r="P140" s="17"/>
      <c r="Q140" s="22" t="str">
        <f aca="false">IF(OR($G140="",Setup!$B$5=""),"",Setup!$B$5/$G140)</f>
        <v/>
      </c>
      <c r="R140" s="23" t="str">
        <f aca="false">IF(OR($E140="",$Q140=""),"",1-(1-$E140)^$Q140)</f>
        <v/>
      </c>
      <c r="S140" s="22" t="str">
        <f aca="false">IF(OR($R140="",$H140=""),"",$H140*$R140)</f>
        <v/>
      </c>
      <c r="T140" s="23" t="str">
        <f aca="false">IF(OR($E140="",$I140=""),"",MIN(1,MIN(N($F140),$E140)+($E140-MIN(N($F140),$E140))*(1-$I140)))</f>
        <v/>
      </c>
      <c r="U140" s="23" t="str">
        <f aca="false">IF(OR($T140="",$Q140=""),"",1-(1-$T140)^$Q140)</f>
        <v/>
      </c>
      <c r="V140" s="23" t="str">
        <f aca="false">IF($M140&lt;&gt;"",$M140,IF($G140="","",MAX(1,(Setup!$B$6/$G140)^Setup!$B$7)))</f>
        <v/>
      </c>
      <c r="W140" s="22" t="str">
        <f aca="false">IF(COUNT($J140:$L140)&lt;3,"",Setup!$B$10*(6-$J140)+Setup!$B$11*$K140+Setup!$B$12*$L140)</f>
        <v/>
      </c>
      <c r="X140" s="23" t="str">
        <f aca="false">IF($W140="","",IF(LEFT(Setup!$B$15,1)="B",EXP(Setup!$B$14*($W140-1)),1+Setup!$B$14*($W140-1)))</f>
        <v/>
      </c>
      <c r="Y140" s="23" t="str">
        <f aca="false">IF($N140&lt;&gt;"",$N140,$X140)</f>
        <v/>
      </c>
      <c r="Z140" s="22" t="str">
        <f aca="false">IF(OR($H140="",$U140="",$V140=""),"",$H140*$U140*$V140)</f>
        <v/>
      </c>
      <c r="AA140" s="22" t="str">
        <f aca="false">IF(OR($Z140="",$Y140=""),"",$Z140*$Y140)</f>
        <v/>
      </c>
      <c r="AB140" s="1" t="str">
        <f aca="false">IF($A140="","",IF(OR($E140="",$G140="",$H140="",$I140="",AND($N140="",COUNT($J140:$L140)&lt;3)),"Missing: "&amp;IF($E140="","P ","")&amp;IF($G140="","T ","")&amp;IF($H140="","I ","")&amp;IF($I140="","C ","")&amp;IF(AND($N140="",COUNT($J140:$L140)&lt;3),"C_ctrl/C_ext/C_irr",""),IF(N($F140)&gt;$E140,"P_floor &gt; P (floor capped at P)","OK")))</f>
        <v/>
      </c>
      <c r="AC140" s="1" t="str">
        <f aca="false">IF($AA140="","",$AA140+ROW()/1000000)</f>
        <v/>
      </c>
      <c r="AD140" s="18" t="n">
        <f aca="false">IF(AND($A140&lt;&gt;"",ISNUMBER($AA140)),1,0)</f>
        <v>0</v>
      </c>
      <c r="AE140" s="18" t="n">
        <f aca="false">IF($AD140=1,$H140,0)</f>
        <v>0</v>
      </c>
      <c r="AF140" s="18" t="n">
        <f aca="false">IF($AD140=1,$E140,0)</f>
        <v>0</v>
      </c>
      <c r="AG140" s="18" t="n">
        <f aca="false">IF($AD140=1,MIN(N($F140),$E140),0)</f>
        <v>0</v>
      </c>
      <c r="AH140" s="18" t="n">
        <f aca="false">IF($AD140=1,$I140,0)</f>
        <v>0</v>
      </c>
      <c r="AI140" s="18" t="n">
        <f aca="false">IF($AD140=1,$G140,1)</f>
        <v>1</v>
      </c>
      <c r="AJ140" s="18" t="n">
        <f aca="false">IF($AD140=1,$V140,1)</f>
        <v>1</v>
      </c>
      <c r="AK140" s="18" t="n">
        <f aca="false">IF($AD140=1,$Y140,1)</f>
        <v>1</v>
      </c>
    </row>
    <row r="141" customFormat="false" ht="15" hidden="false" customHeight="false" outlineLevel="0" collapsed="false">
      <c r="A141" s="10"/>
      <c r="B141" s="10"/>
      <c r="C141" s="12"/>
      <c r="D141" s="17"/>
      <c r="E141" s="13"/>
      <c r="F141" s="21"/>
      <c r="G141" s="12"/>
      <c r="H141" s="12"/>
      <c r="I141" s="12"/>
      <c r="J141" s="12"/>
      <c r="K141" s="12"/>
      <c r="L141" s="12"/>
      <c r="M141" s="15"/>
      <c r="N141" s="15"/>
      <c r="O141" s="12"/>
      <c r="P141" s="17"/>
      <c r="Q141" s="22" t="str">
        <f aca="false">IF(OR($G141="",Setup!$B$5=""),"",Setup!$B$5/$G141)</f>
        <v/>
      </c>
      <c r="R141" s="23" t="str">
        <f aca="false">IF(OR($E141="",$Q141=""),"",1-(1-$E141)^$Q141)</f>
        <v/>
      </c>
      <c r="S141" s="22" t="str">
        <f aca="false">IF(OR($R141="",$H141=""),"",$H141*$R141)</f>
        <v/>
      </c>
      <c r="T141" s="23" t="str">
        <f aca="false">IF(OR($E141="",$I141=""),"",MIN(1,MIN(N($F141),$E141)+($E141-MIN(N($F141),$E141))*(1-$I141)))</f>
        <v/>
      </c>
      <c r="U141" s="23" t="str">
        <f aca="false">IF(OR($T141="",$Q141=""),"",1-(1-$T141)^$Q141)</f>
        <v/>
      </c>
      <c r="V141" s="23" t="str">
        <f aca="false">IF($M141&lt;&gt;"",$M141,IF($G141="","",MAX(1,(Setup!$B$6/$G141)^Setup!$B$7)))</f>
        <v/>
      </c>
      <c r="W141" s="22" t="str">
        <f aca="false">IF(COUNT($J141:$L141)&lt;3,"",Setup!$B$10*(6-$J141)+Setup!$B$11*$K141+Setup!$B$12*$L141)</f>
        <v/>
      </c>
      <c r="X141" s="23" t="str">
        <f aca="false">IF($W141="","",IF(LEFT(Setup!$B$15,1)="B",EXP(Setup!$B$14*($W141-1)),1+Setup!$B$14*($W141-1)))</f>
        <v/>
      </c>
      <c r="Y141" s="23" t="str">
        <f aca="false">IF($N141&lt;&gt;"",$N141,$X141)</f>
        <v/>
      </c>
      <c r="Z141" s="22" t="str">
        <f aca="false">IF(OR($H141="",$U141="",$V141=""),"",$H141*$U141*$V141)</f>
        <v/>
      </c>
      <c r="AA141" s="22" t="str">
        <f aca="false">IF(OR($Z141="",$Y141=""),"",$Z141*$Y141)</f>
        <v/>
      </c>
      <c r="AB141" s="1" t="str">
        <f aca="false">IF($A141="","",IF(OR($E141="",$G141="",$H141="",$I141="",AND($N141="",COUNT($J141:$L141)&lt;3)),"Missing: "&amp;IF($E141="","P ","")&amp;IF($G141="","T ","")&amp;IF($H141="","I ","")&amp;IF($I141="","C ","")&amp;IF(AND($N141="",COUNT($J141:$L141)&lt;3),"C_ctrl/C_ext/C_irr",""),IF(N($F141)&gt;$E141,"P_floor &gt; P (floor capped at P)","OK")))</f>
        <v/>
      </c>
      <c r="AC141" s="1" t="str">
        <f aca="false">IF($AA141="","",$AA141+ROW()/1000000)</f>
        <v/>
      </c>
      <c r="AD141" s="18" t="n">
        <f aca="false">IF(AND($A141&lt;&gt;"",ISNUMBER($AA141)),1,0)</f>
        <v>0</v>
      </c>
      <c r="AE141" s="18" t="n">
        <f aca="false">IF($AD141=1,$H141,0)</f>
        <v>0</v>
      </c>
      <c r="AF141" s="18" t="n">
        <f aca="false">IF($AD141=1,$E141,0)</f>
        <v>0</v>
      </c>
      <c r="AG141" s="18" t="n">
        <f aca="false">IF($AD141=1,MIN(N($F141),$E141),0)</f>
        <v>0</v>
      </c>
      <c r="AH141" s="18" t="n">
        <f aca="false">IF($AD141=1,$I141,0)</f>
        <v>0</v>
      </c>
      <c r="AI141" s="18" t="n">
        <f aca="false">IF($AD141=1,$G141,1)</f>
        <v>1</v>
      </c>
      <c r="AJ141" s="18" t="n">
        <f aca="false">IF($AD141=1,$V141,1)</f>
        <v>1</v>
      </c>
      <c r="AK141" s="18" t="n">
        <f aca="false">IF($AD141=1,$Y141,1)</f>
        <v>1</v>
      </c>
    </row>
    <row r="142" customFormat="false" ht="15" hidden="false" customHeight="false" outlineLevel="0" collapsed="false">
      <c r="A142" s="10"/>
      <c r="B142" s="10"/>
      <c r="C142" s="12"/>
      <c r="D142" s="17"/>
      <c r="E142" s="13"/>
      <c r="F142" s="21"/>
      <c r="G142" s="12"/>
      <c r="H142" s="12"/>
      <c r="I142" s="12"/>
      <c r="J142" s="12"/>
      <c r="K142" s="12"/>
      <c r="L142" s="12"/>
      <c r="M142" s="15"/>
      <c r="N142" s="15"/>
      <c r="O142" s="12"/>
      <c r="P142" s="17"/>
      <c r="Q142" s="22" t="str">
        <f aca="false">IF(OR($G142="",Setup!$B$5=""),"",Setup!$B$5/$G142)</f>
        <v/>
      </c>
      <c r="R142" s="23" t="str">
        <f aca="false">IF(OR($E142="",$Q142=""),"",1-(1-$E142)^$Q142)</f>
        <v/>
      </c>
      <c r="S142" s="22" t="str">
        <f aca="false">IF(OR($R142="",$H142=""),"",$H142*$R142)</f>
        <v/>
      </c>
      <c r="T142" s="23" t="str">
        <f aca="false">IF(OR($E142="",$I142=""),"",MIN(1,MIN(N($F142),$E142)+($E142-MIN(N($F142),$E142))*(1-$I142)))</f>
        <v/>
      </c>
      <c r="U142" s="23" t="str">
        <f aca="false">IF(OR($T142="",$Q142=""),"",1-(1-$T142)^$Q142)</f>
        <v/>
      </c>
      <c r="V142" s="23" t="str">
        <f aca="false">IF($M142&lt;&gt;"",$M142,IF($G142="","",MAX(1,(Setup!$B$6/$G142)^Setup!$B$7)))</f>
        <v/>
      </c>
      <c r="W142" s="22" t="str">
        <f aca="false">IF(COUNT($J142:$L142)&lt;3,"",Setup!$B$10*(6-$J142)+Setup!$B$11*$K142+Setup!$B$12*$L142)</f>
        <v/>
      </c>
      <c r="X142" s="23" t="str">
        <f aca="false">IF($W142="","",IF(LEFT(Setup!$B$15,1)="B",EXP(Setup!$B$14*($W142-1)),1+Setup!$B$14*($W142-1)))</f>
        <v/>
      </c>
      <c r="Y142" s="23" t="str">
        <f aca="false">IF($N142&lt;&gt;"",$N142,$X142)</f>
        <v/>
      </c>
      <c r="Z142" s="22" t="str">
        <f aca="false">IF(OR($H142="",$U142="",$V142=""),"",$H142*$U142*$V142)</f>
        <v/>
      </c>
      <c r="AA142" s="22" t="str">
        <f aca="false">IF(OR($Z142="",$Y142=""),"",$Z142*$Y142)</f>
        <v/>
      </c>
      <c r="AB142" s="1" t="str">
        <f aca="false">IF($A142="","",IF(OR($E142="",$G142="",$H142="",$I142="",AND($N142="",COUNT($J142:$L142)&lt;3)),"Missing: "&amp;IF($E142="","P ","")&amp;IF($G142="","T ","")&amp;IF($H142="","I ","")&amp;IF($I142="","C ","")&amp;IF(AND($N142="",COUNT($J142:$L142)&lt;3),"C_ctrl/C_ext/C_irr",""),IF(N($F142)&gt;$E142,"P_floor &gt; P (floor capped at P)","OK")))</f>
        <v/>
      </c>
      <c r="AC142" s="1" t="str">
        <f aca="false">IF($AA142="","",$AA142+ROW()/1000000)</f>
        <v/>
      </c>
      <c r="AD142" s="18" t="n">
        <f aca="false">IF(AND($A142&lt;&gt;"",ISNUMBER($AA142)),1,0)</f>
        <v>0</v>
      </c>
      <c r="AE142" s="18" t="n">
        <f aca="false">IF($AD142=1,$H142,0)</f>
        <v>0</v>
      </c>
      <c r="AF142" s="18" t="n">
        <f aca="false">IF($AD142=1,$E142,0)</f>
        <v>0</v>
      </c>
      <c r="AG142" s="18" t="n">
        <f aca="false">IF($AD142=1,MIN(N($F142),$E142),0)</f>
        <v>0</v>
      </c>
      <c r="AH142" s="18" t="n">
        <f aca="false">IF($AD142=1,$I142,0)</f>
        <v>0</v>
      </c>
      <c r="AI142" s="18" t="n">
        <f aca="false">IF($AD142=1,$G142,1)</f>
        <v>1</v>
      </c>
      <c r="AJ142" s="18" t="n">
        <f aca="false">IF($AD142=1,$V142,1)</f>
        <v>1</v>
      </c>
      <c r="AK142" s="18" t="n">
        <f aca="false">IF($AD142=1,$Y142,1)</f>
        <v>1</v>
      </c>
    </row>
    <row r="143" customFormat="false" ht="15" hidden="false" customHeight="false" outlineLevel="0" collapsed="false">
      <c r="A143" s="10"/>
      <c r="B143" s="10"/>
      <c r="C143" s="12"/>
      <c r="D143" s="17"/>
      <c r="E143" s="13"/>
      <c r="F143" s="21"/>
      <c r="G143" s="12"/>
      <c r="H143" s="12"/>
      <c r="I143" s="12"/>
      <c r="J143" s="12"/>
      <c r="K143" s="12"/>
      <c r="L143" s="12"/>
      <c r="M143" s="15"/>
      <c r="N143" s="15"/>
      <c r="O143" s="12"/>
      <c r="P143" s="17"/>
      <c r="Q143" s="22" t="str">
        <f aca="false">IF(OR($G143="",Setup!$B$5=""),"",Setup!$B$5/$G143)</f>
        <v/>
      </c>
      <c r="R143" s="23" t="str">
        <f aca="false">IF(OR($E143="",$Q143=""),"",1-(1-$E143)^$Q143)</f>
        <v/>
      </c>
      <c r="S143" s="22" t="str">
        <f aca="false">IF(OR($R143="",$H143=""),"",$H143*$R143)</f>
        <v/>
      </c>
      <c r="T143" s="23" t="str">
        <f aca="false">IF(OR($E143="",$I143=""),"",MIN(1,MIN(N($F143),$E143)+($E143-MIN(N($F143),$E143))*(1-$I143)))</f>
        <v/>
      </c>
      <c r="U143" s="23" t="str">
        <f aca="false">IF(OR($T143="",$Q143=""),"",1-(1-$T143)^$Q143)</f>
        <v/>
      </c>
      <c r="V143" s="23" t="str">
        <f aca="false">IF($M143&lt;&gt;"",$M143,IF($G143="","",MAX(1,(Setup!$B$6/$G143)^Setup!$B$7)))</f>
        <v/>
      </c>
      <c r="W143" s="22" t="str">
        <f aca="false">IF(COUNT($J143:$L143)&lt;3,"",Setup!$B$10*(6-$J143)+Setup!$B$11*$K143+Setup!$B$12*$L143)</f>
        <v/>
      </c>
      <c r="X143" s="23" t="str">
        <f aca="false">IF($W143="","",IF(LEFT(Setup!$B$15,1)="B",EXP(Setup!$B$14*($W143-1)),1+Setup!$B$14*($W143-1)))</f>
        <v/>
      </c>
      <c r="Y143" s="23" t="str">
        <f aca="false">IF($N143&lt;&gt;"",$N143,$X143)</f>
        <v/>
      </c>
      <c r="Z143" s="22" t="str">
        <f aca="false">IF(OR($H143="",$U143="",$V143=""),"",$H143*$U143*$V143)</f>
        <v/>
      </c>
      <c r="AA143" s="22" t="str">
        <f aca="false">IF(OR($Z143="",$Y143=""),"",$Z143*$Y143)</f>
        <v/>
      </c>
      <c r="AB143" s="1" t="str">
        <f aca="false">IF($A143="","",IF(OR($E143="",$G143="",$H143="",$I143="",AND($N143="",COUNT($J143:$L143)&lt;3)),"Missing: "&amp;IF($E143="","P ","")&amp;IF($G143="","T ","")&amp;IF($H143="","I ","")&amp;IF($I143="","C ","")&amp;IF(AND($N143="",COUNT($J143:$L143)&lt;3),"C_ctrl/C_ext/C_irr",""),IF(N($F143)&gt;$E143,"P_floor &gt; P (floor capped at P)","OK")))</f>
        <v/>
      </c>
      <c r="AC143" s="1" t="str">
        <f aca="false">IF($AA143="","",$AA143+ROW()/1000000)</f>
        <v/>
      </c>
      <c r="AD143" s="18" t="n">
        <f aca="false">IF(AND($A143&lt;&gt;"",ISNUMBER($AA143)),1,0)</f>
        <v>0</v>
      </c>
      <c r="AE143" s="18" t="n">
        <f aca="false">IF($AD143=1,$H143,0)</f>
        <v>0</v>
      </c>
      <c r="AF143" s="18" t="n">
        <f aca="false">IF($AD143=1,$E143,0)</f>
        <v>0</v>
      </c>
      <c r="AG143" s="18" t="n">
        <f aca="false">IF($AD143=1,MIN(N($F143),$E143),0)</f>
        <v>0</v>
      </c>
      <c r="AH143" s="18" t="n">
        <f aca="false">IF($AD143=1,$I143,0)</f>
        <v>0</v>
      </c>
      <c r="AI143" s="18" t="n">
        <f aca="false">IF($AD143=1,$G143,1)</f>
        <v>1</v>
      </c>
      <c r="AJ143" s="18" t="n">
        <f aca="false">IF($AD143=1,$V143,1)</f>
        <v>1</v>
      </c>
      <c r="AK143" s="18" t="n">
        <f aca="false">IF($AD143=1,$Y143,1)</f>
        <v>1</v>
      </c>
    </row>
    <row r="144" customFormat="false" ht="15" hidden="false" customHeight="false" outlineLevel="0" collapsed="false">
      <c r="A144" s="10"/>
      <c r="B144" s="10"/>
      <c r="C144" s="12"/>
      <c r="D144" s="17"/>
      <c r="E144" s="13"/>
      <c r="F144" s="21"/>
      <c r="G144" s="12"/>
      <c r="H144" s="12"/>
      <c r="I144" s="12"/>
      <c r="J144" s="12"/>
      <c r="K144" s="12"/>
      <c r="L144" s="12"/>
      <c r="M144" s="15"/>
      <c r="N144" s="15"/>
      <c r="O144" s="12"/>
      <c r="P144" s="17"/>
      <c r="Q144" s="22" t="str">
        <f aca="false">IF(OR($G144="",Setup!$B$5=""),"",Setup!$B$5/$G144)</f>
        <v/>
      </c>
      <c r="R144" s="23" t="str">
        <f aca="false">IF(OR($E144="",$Q144=""),"",1-(1-$E144)^$Q144)</f>
        <v/>
      </c>
      <c r="S144" s="22" t="str">
        <f aca="false">IF(OR($R144="",$H144=""),"",$H144*$R144)</f>
        <v/>
      </c>
      <c r="T144" s="23" t="str">
        <f aca="false">IF(OR($E144="",$I144=""),"",MIN(1,MIN(N($F144),$E144)+($E144-MIN(N($F144),$E144))*(1-$I144)))</f>
        <v/>
      </c>
      <c r="U144" s="23" t="str">
        <f aca="false">IF(OR($T144="",$Q144=""),"",1-(1-$T144)^$Q144)</f>
        <v/>
      </c>
      <c r="V144" s="23" t="str">
        <f aca="false">IF($M144&lt;&gt;"",$M144,IF($G144="","",MAX(1,(Setup!$B$6/$G144)^Setup!$B$7)))</f>
        <v/>
      </c>
      <c r="W144" s="22" t="str">
        <f aca="false">IF(COUNT($J144:$L144)&lt;3,"",Setup!$B$10*(6-$J144)+Setup!$B$11*$K144+Setup!$B$12*$L144)</f>
        <v/>
      </c>
      <c r="X144" s="23" t="str">
        <f aca="false">IF($W144="","",IF(LEFT(Setup!$B$15,1)="B",EXP(Setup!$B$14*($W144-1)),1+Setup!$B$14*($W144-1)))</f>
        <v/>
      </c>
      <c r="Y144" s="23" t="str">
        <f aca="false">IF($N144&lt;&gt;"",$N144,$X144)</f>
        <v/>
      </c>
      <c r="Z144" s="22" t="str">
        <f aca="false">IF(OR($H144="",$U144="",$V144=""),"",$H144*$U144*$V144)</f>
        <v/>
      </c>
      <c r="AA144" s="22" t="str">
        <f aca="false">IF(OR($Z144="",$Y144=""),"",$Z144*$Y144)</f>
        <v/>
      </c>
      <c r="AB144" s="1" t="str">
        <f aca="false">IF($A144="","",IF(OR($E144="",$G144="",$H144="",$I144="",AND($N144="",COUNT($J144:$L144)&lt;3)),"Missing: "&amp;IF($E144="","P ","")&amp;IF($G144="","T ","")&amp;IF($H144="","I ","")&amp;IF($I144="","C ","")&amp;IF(AND($N144="",COUNT($J144:$L144)&lt;3),"C_ctrl/C_ext/C_irr",""),IF(N($F144)&gt;$E144,"P_floor &gt; P (floor capped at P)","OK")))</f>
        <v/>
      </c>
      <c r="AC144" s="1" t="str">
        <f aca="false">IF($AA144="","",$AA144+ROW()/1000000)</f>
        <v/>
      </c>
      <c r="AD144" s="18" t="n">
        <f aca="false">IF(AND($A144&lt;&gt;"",ISNUMBER($AA144)),1,0)</f>
        <v>0</v>
      </c>
      <c r="AE144" s="18" t="n">
        <f aca="false">IF($AD144=1,$H144,0)</f>
        <v>0</v>
      </c>
      <c r="AF144" s="18" t="n">
        <f aca="false">IF($AD144=1,$E144,0)</f>
        <v>0</v>
      </c>
      <c r="AG144" s="18" t="n">
        <f aca="false">IF($AD144=1,MIN(N($F144),$E144),0)</f>
        <v>0</v>
      </c>
      <c r="AH144" s="18" t="n">
        <f aca="false">IF($AD144=1,$I144,0)</f>
        <v>0</v>
      </c>
      <c r="AI144" s="18" t="n">
        <f aca="false">IF($AD144=1,$G144,1)</f>
        <v>1</v>
      </c>
      <c r="AJ144" s="18" t="n">
        <f aca="false">IF($AD144=1,$V144,1)</f>
        <v>1</v>
      </c>
      <c r="AK144" s="18" t="n">
        <f aca="false">IF($AD144=1,$Y144,1)</f>
        <v>1</v>
      </c>
    </row>
    <row r="145" customFormat="false" ht="15" hidden="false" customHeight="false" outlineLevel="0" collapsed="false">
      <c r="A145" s="10"/>
      <c r="B145" s="10"/>
      <c r="C145" s="12"/>
      <c r="D145" s="17"/>
      <c r="E145" s="13"/>
      <c r="F145" s="21"/>
      <c r="G145" s="12"/>
      <c r="H145" s="12"/>
      <c r="I145" s="12"/>
      <c r="J145" s="12"/>
      <c r="K145" s="12"/>
      <c r="L145" s="12"/>
      <c r="M145" s="15"/>
      <c r="N145" s="15"/>
      <c r="O145" s="12"/>
      <c r="P145" s="17"/>
      <c r="Q145" s="22" t="str">
        <f aca="false">IF(OR($G145="",Setup!$B$5=""),"",Setup!$B$5/$G145)</f>
        <v/>
      </c>
      <c r="R145" s="23" t="str">
        <f aca="false">IF(OR($E145="",$Q145=""),"",1-(1-$E145)^$Q145)</f>
        <v/>
      </c>
      <c r="S145" s="22" t="str">
        <f aca="false">IF(OR($R145="",$H145=""),"",$H145*$R145)</f>
        <v/>
      </c>
      <c r="T145" s="23" t="str">
        <f aca="false">IF(OR($E145="",$I145=""),"",MIN(1,MIN(N($F145),$E145)+($E145-MIN(N($F145),$E145))*(1-$I145)))</f>
        <v/>
      </c>
      <c r="U145" s="23" t="str">
        <f aca="false">IF(OR($T145="",$Q145=""),"",1-(1-$T145)^$Q145)</f>
        <v/>
      </c>
      <c r="V145" s="23" t="str">
        <f aca="false">IF($M145&lt;&gt;"",$M145,IF($G145="","",MAX(1,(Setup!$B$6/$G145)^Setup!$B$7)))</f>
        <v/>
      </c>
      <c r="W145" s="22" t="str">
        <f aca="false">IF(COUNT($J145:$L145)&lt;3,"",Setup!$B$10*(6-$J145)+Setup!$B$11*$K145+Setup!$B$12*$L145)</f>
        <v/>
      </c>
      <c r="X145" s="23" t="str">
        <f aca="false">IF($W145="","",IF(LEFT(Setup!$B$15,1)="B",EXP(Setup!$B$14*($W145-1)),1+Setup!$B$14*($W145-1)))</f>
        <v/>
      </c>
      <c r="Y145" s="23" t="str">
        <f aca="false">IF($N145&lt;&gt;"",$N145,$X145)</f>
        <v/>
      </c>
      <c r="Z145" s="22" t="str">
        <f aca="false">IF(OR($H145="",$U145="",$V145=""),"",$H145*$U145*$V145)</f>
        <v/>
      </c>
      <c r="AA145" s="22" t="str">
        <f aca="false">IF(OR($Z145="",$Y145=""),"",$Z145*$Y145)</f>
        <v/>
      </c>
      <c r="AB145" s="1" t="str">
        <f aca="false">IF($A145="","",IF(OR($E145="",$G145="",$H145="",$I145="",AND($N145="",COUNT($J145:$L145)&lt;3)),"Missing: "&amp;IF($E145="","P ","")&amp;IF($G145="","T ","")&amp;IF($H145="","I ","")&amp;IF($I145="","C ","")&amp;IF(AND($N145="",COUNT($J145:$L145)&lt;3),"C_ctrl/C_ext/C_irr",""),IF(N($F145)&gt;$E145,"P_floor &gt; P (floor capped at P)","OK")))</f>
        <v/>
      </c>
      <c r="AC145" s="1" t="str">
        <f aca="false">IF($AA145="","",$AA145+ROW()/1000000)</f>
        <v/>
      </c>
      <c r="AD145" s="18" t="n">
        <f aca="false">IF(AND($A145&lt;&gt;"",ISNUMBER($AA145)),1,0)</f>
        <v>0</v>
      </c>
      <c r="AE145" s="18" t="n">
        <f aca="false">IF($AD145=1,$H145,0)</f>
        <v>0</v>
      </c>
      <c r="AF145" s="18" t="n">
        <f aca="false">IF($AD145=1,$E145,0)</f>
        <v>0</v>
      </c>
      <c r="AG145" s="18" t="n">
        <f aca="false">IF($AD145=1,MIN(N($F145),$E145),0)</f>
        <v>0</v>
      </c>
      <c r="AH145" s="18" t="n">
        <f aca="false">IF($AD145=1,$I145,0)</f>
        <v>0</v>
      </c>
      <c r="AI145" s="18" t="n">
        <f aca="false">IF($AD145=1,$G145,1)</f>
        <v>1</v>
      </c>
      <c r="AJ145" s="18" t="n">
        <f aca="false">IF($AD145=1,$V145,1)</f>
        <v>1</v>
      </c>
      <c r="AK145" s="18" t="n">
        <f aca="false">IF($AD145=1,$Y145,1)</f>
        <v>1</v>
      </c>
    </row>
    <row r="146" customFormat="false" ht="15" hidden="false" customHeight="false" outlineLevel="0" collapsed="false">
      <c r="A146" s="10"/>
      <c r="B146" s="10"/>
      <c r="C146" s="12"/>
      <c r="D146" s="17"/>
      <c r="E146" s="13"/>
      <c r="F146" s="21"/>
      <c r="G146" s="12"/>
      <c r="H146" s="12"/>
      <c r="I146" s="12"/>
      <c r="J146" s="12"/>
      <c r="K146" s="12"/>
      <c r="L146" s="12"/>
      <c r="M146" s="15"/>
      <c r="N146" s="15"/>
      <c r="O146" s="12"/>
      <c r="P146" s="17"/>
      <c r="Q146" s="22" t="str">
        <f aca="false">IF(OR($G146="",Setup!$B$5=""),"",Setup!$B$5/$G146)</f>
        <v/>
      </c>
      <c r="R146" s="23" t="str">
        <f aca="false">IF(OR($E146="",$Q146=""),"",1-(1-$E146)^$Q146)</f>
        <v/>
      </c>
      <c r="S146" s="22" t="str">
        <f aca="false">IF(OR($R146="",$H146=""),"",$H146*$R146)</f>
        <v/>
      </c>
      <c r="T146" s="23" t="str">
        <f aca="false">IF(OR($E146="",$I146=""),"",MIN(1,MIN(N($F146),$E146)+($E146-MIN(N($F146),$E146))*(1-$I146)))</f>
        <v/>
      </c>
      <c r="U146" s="23" t="str">
        <f aca="false">IF(OR($T146="",$Q146=""),"",1-(1-$T146)^$Q146)</f>
        <v/>
      </c>
      <c r="V146" s="23" t="str">
        <f aca="false">IF($M146&lt;&gt;"",$M146,IF($G146="","",MAX(1,(Setup!$B$6/$G146)^Setup!$B$7)))</f>
        <v/>
      </c>
      <c r="W146" s="22" t="str">
        <f aca="false">IF(COUNT($J146:$L146)&lt;3,"",Setup!$B$10*(6-$J146)+Setup!$B$11*$K146+Setup!$B$12*$L146)</f>
        <v/>
      </c>
      <c r="X146" s="23" t="str">
        <f aca="false">IF($W146="","",IF(LEFT(Setup!$B$15,1)="B",EXP(Setup!$B$14*($W146-1)),1+Setup!$B$14*($W146-1)))</f>
        <v/>
      </c>
      <c r="Y146" s="23" t="str">
        <f aca="false">IF($N146&lt;&gt;"",$N146,$X146)</f>
        <v/>
      </c>
      <c r="Z146" s="22" t="str">
        <f aca="false">IF(OR($H146="",$U146="",$V146=""),"",$H146*$U146*$V146)</f>
        <v/>
      </c>
      <c r="AA146" s="22" t="str">
        <f aca="false">IF(OR($Z146="",$Y146=""),"",$Z146*$Y146)</f>
        <v/>
      </c>
      <c r="AB146" s="1" t="str">
        <f aca="false">IF($A146="","",IF(OR($E146="",$G146="",$H146="",$I146="",AND($N146="",COUNT($J146:$L146)&lt;3)),"Missing: "&amp;IF($E146="","P ","")&amp;IF($G146="","T ","")&amp;IF($H146="","I ","")&amp;IF($I146="","C ","")&amp;IF(AND($N146="",COUNT($J146:$L146)&lt;3),"C_ctrl/C_ext/C_irr",""),IF(N($F146)&gt;$E146,"P_floor &gt; P (floor capped at P)","OK")))</f>
        <v/>
      </c>
      <c r="AC146" s="1" t="str">
        <f aca="false">IF($AA146="","",$AA146+ROW()/1000000)</f>
        <v/>
      </c>
      <c r="AD146" s="18" t="n">
        <f aca="false">IF(AND($A146&lt;&gt;"",ISNUMBER($AA146)),1,0)</f>
        <v>0</v>
      </c>
      <c r="AE146" s="18" t="n">
        <f aca="false">IF($AD146=1,$H146,0)</f>
        <v>0</v>
      </c>
      <c r="AF146" s="18" t="n">
        <f aca="false">IF($AD146=1,$E146,0)</f>
        <v>0</v>
      </c>
      <c r="AG146" s="18" t="n">
        <f aca="false">IF($AD146=1,MIN(N($F146),$E146),0)</f>
        <v>0</v>
      </c>
      <c r="AH146" s="18" t="n">
        <f aca="false">IF($AD146=1,$I146,0)</f>
        <v>0</v>
      </c>
      <c r="AI146" s="18" t="n">
        <f aca="false">IF($AD146=1,$G146,1)</f>
        <v>1</v>
      </c>
      <c r="AJ146" s="18" t="n">
        <f aca="false">IF($AD146=1,$V146,1)</f>
        <v>1</v>
      </c>
      <c r="AK146" s="18" t="n">
        <f aca="false">IF($AD146=1,$Y146,1)</f>
        <v>1</v>
      </c>
    </row>
    <row r="147" customFormat="false" ht="15" hidden="false" customHeight="false" outlineLevel="0" collapsed="false">
      <c r="A147" s="10"/>
      <c r="B147" s="10"/>
      <c r="C147" s="12"/>
      <c r="D147" s="17"/>
      <c r="E147" s="13"/>
      <c r="F147" s="21"/>
      <c r="G147" s="12"/>
      <c r="H147" s="12"/>
      <c r="I147" s="12"/>
      <c r="J147" s="12"/>
      <c r="K147" s="12"/>
      <c r="L147" s="12"/>
      <c r="M147" s="15"/>
      <c r="N147" s="15"/>
      <c r="O147" s="12"/>
      <c r="P147" s="17"/>
      <c r="Q147" s="22" t="str">
        <f aca="false">IF(OR($G147="",Setup!$B$5=""),"",Setup!$B$5/$G147)</f>
        <v/>
      </c>
      <c r="R147" s="23" t="str">
        <f aca="false">IF(OR($E147="",$Q147=""),"",1-(1-$E147)^$Q147)</f>
        <v/>
      </c>
      <c r="S147" s="22" t="str">
        <f aca="false">IF(OR($R147="",$H147=""),"",$H147*$R147)</f>
        <v/>
      </c>
      <c r="T147" s="23" t="str">
        <f aca="false">IF(OR($E147="",$I147=""),"",MIN(1,MIN(N($F147),$E147)+($E147-MIN(N($F147),$E147))*(1-$I147)))</f>
        <v/>
      </c>
      <c r="U147" s="23" t="str">
        <f aca="false">IF(OR($T147="",$Q147=""),"",1-(1-$T147)^$Q147)</f>
        <v/>
      </c>
      <c r="V147" s="23" t="str">
        <f aca="false">IF($M147&lt;&gt;"",$M147,IF($G147="","",MAX(1,(Setup!$B$6/$G147)^Setup!$B$7)))</f>
        <v/>
      </c>
      <c r="W147" s="22" t="str">
        <f aca="false">IF(COUNT($J147:$L147)&lt;3,"",Setup!$B$10*(6-$J147)+Setup!$B$11*$K147+Setup!$B$12*$L147)</f>
        <v/>
      </c>
      <c r="X147" s="23" t="str">
        <f aca="false">IF($W147="","",IF(LEFT(Setup!$B$15,1)="B",EXP(Setup!$B$14*($W147-1)),1+Setup!$B$14*($W147-1)))</f>
        <v/>
      </c>
      <c r="Y147" s="23" t="str">
        <f aca="false">IF($N147&lt;&gt;"",$N147,$X147)</f>
        <v/>
      </c>
      <c r="Z147" s="22" t="str">
        <f aca="false">IF(OR($H147="",$U147="",$V147=""),"",$H147*$U147*$V147)</f>
        <v/>
      </c>
      <c r="AA147" s="22" t="str">
        <f aca="false">IF(OR($Z147="",$Y147=""),"",$Z147*$Y147)</f>
        <v/>
      </c>
      <c r="AB147" s="1" t="str">
        <f aca="false">IF($A147="","",IF(OR($E147="",$G147="",$H147="",$I147="",AND($N147="",COUNT($J147:$L147)&lt;3)),"Missing: "&amp;IF($E147="","P ","")&amp;IF($G147="","T ","")&amp;IF($H147="","I ","")&amp;IF($I147="","C ","")&amp;IF(AND($N147="",COUNT($J147:$L147)&lt;3),"C_ctrl/C_ext/C_irr",""),IF(N($F147)&gt;$E147,"P_floor &gt; P (floor capped at P)","OK")))</f>
        <v/>
      </c>
      <c r="AC147" s="1" t="str">
        <f aca="false">IF($AA147="","",$AA147+ROW()/1000000)</f>
        <v/>
      </c>
      <c r="AD147" s="18" t="n">
        <f aca="false">IF(AND($A147&lt;&gt;"",ISNUMBER($AA147)),1,0)</f>
        <v>0</v>
      </c>
      <c r="AE147" s="18" t="n">
        <f aca="false">IF($AD147=1,$H147,0)</f>
        <v>0</v>
      </c>
      <c r="AF147" s="18" t="n">
        <f aca="false">IF($AD147=1,$E147,0)</f>
        <v>0</v>
      </c>
      <c r="AG147" s="18" t="n">
        <f aca="false">IF($AD147=1,MIN(N($F147),$E147),0)</f>
        <v>0</v>
      </c>
      <c r="AH147" s="18" t="n">
        <f aca="false">IF($AD147=1,$I147,0)</f>
        <v>0</v>
      </c>
      <c r="AI147" s="18" t="n">
        <f aca="false">IF($AD147=1,$G147,1)</f>
        <v>1</v>
      </c>
      <c r="AJ147" s="18" t="n">
        <f aca="false">IF($AD147=1,$V147,1)</f>
        <v>1</v>
      </c>
      <c r="AK147" s="18" t="n">
        <f aca="false">IF($AD147=1,$Y147,1)</f>
        <v>1</v>
      </c>
    </row>
    <row r="148" customFormat="false" ht="15" hidden="false" customHeight="false" outlineLevel="0" collapsed="false">
      <c r="A148" s="10"/>
      <c r="B148" s="10"/>
      <c r="C148" s="12"/>
      <c r="D148" s="17"/>
      <c r="E148" s="13"/>
      <c r="F148" s="21"/>
      <c r="G148" s="12"/>
      <c r="H148" s="12"/>
      <c r="I148" s="12"/>
      <c r="J148" s="12"/>
      <c r="K148" s="12"/>
      <c r="L148" s="12"/>
      <c r="M148" s="15"/>
      <c r="N148" s="15"/>
      <c r="O148" s="12"/>
      <c r="P148" s="17"/>
      <c r="Q148" s="22" t="str">
        <f aca="false">IF(OR($G148="",Setup!$B$5=""),"",Setup!$B$5/$G148)</f>
        <v/>
      </c>
      <c r="R148" s="23" t="str">
        <f aca="false">IF(OR($E148="",$Q148=""),"",1-(1-$E148)^$Q148)</f>
        <v/>
      </c>
      <c r="S148" s="22" t="str">
        <f aca="false">IF(OR($R148="",$H148=""),"",$H148*$R148)</f>
        <v/>
      </c>
      <c r="T148" s="23" t="str">
        <f aca="false">IF(OR($E148="",$I148=""),"",MIN(1,MIN(N($F148),$E148)+($E148-MIN(N($F148),$E148))*(1-$I148)))</f>
        <v/>
      </c>
      <c r="U148" s="23" t="str">
        <f aca="false">IF(OR($T148="",$Q148=""),"",1-(1-$T148)^$Q148)</f>
        <v/>
      </c>
      <c r="V148" s="23" t="str">
        <f aca="false">IF($M148&lt;&gt;"",$M148,IF($G148="","",MAX(1,(Setup!$B$6/$G148)^Setup!$B$7)))</f>
        <v/>
      </c>
      <c r="W148" s="22" t="str">
        <f aca="false">IF(COUNT($J148:$L148)&lt;3,"",Setup!$B$10*(6-$J148)+Setup!$B$11*$K148+Setup!$B$12*$L148)</f>
        <v/>
      </c>
      <c r="X148" s="23" t="str">
        <f aca="false">IF($W148="","",IF(LEFT(Setup!$B$15,1)="B",EXP(Setup!$B$14*($W148-1)),1+Setup!$B$14*($W148-1)))</f>
        <v/>
      </c>
      <c r="Y148" s="23" t="str">
        <f aca="false">IF($N148&lt;&gt;"",$N148,$X148)</f>
        <v/>
      </c>
      <c r="Z148" s="22" t="str">
        <f aca="false">IF(OR($H148="",$U148="",$V148=""),"",$H148*$U148*$V148)</f>
        <v/>
      </c>
      <c r="AA148" s="22" t="str">
        <f aca="false">IF(OR($Z148="",$Y148=""),"",$Z148*$Y148)</f>
        <v/>
      </c>
      <c r="AB148" s="1" t="str">
        <f aca="false">IF($A148="","",IF(OR($E148="",$G148="",$H148="",$I148="",AND($N148="",COUNT($J148:$L148)&lt;3)),"Missing: "&amp;IF($E148="","P ","")&amp;IF($G148="","T ","")&amp;IF($H148="","I ","")&amp;IF($I148="","C ","")&amp;IF(AND($N148="",COUNT($J148:$L148)&lt;3),"C_ctrl/C_ext/C_irr",""),IF(N($F148)&gt;$E148,"P_floor &gt; P (floor capped at P)","OK")))</f>
        <v/>
      </c>
      <c r="AC148" s="1" t="str">
        <f aca="false">IF($AA148="","",$AA148+ROW()/1000000)</f>
        <v/>
      </c>
      <c r="AD148" s="18" t="n">
        <f aca="false">IF(AND($A148&lt;&gt;"",ISNUMBER($AA148)),1,0)</f>
        <v>0</v>
      </c>
      <c r="AE148" s="18" t="n">
        <f aca="false">IF($AD148=1,$H148,0)</f>
        <v>0</v>
      </c>
      <c r="AF148" s="18" t="n">
        <f aca="false">IF($AD148=1,$E148,0)</f>
        <v>0</v>
      </c>
      <c r="AG148" s="18" t="n">
        <f aca="false">IF($AD148=1,MIN(N($F148),$E148),0)</f>
        <v>0</v>
      </c>
      <c r="AH148" s="18" t="n">
        <f aca="false">IF($AD148=1,$I148,0)</f>
        <v>0</v>
      </c>
      <c r="AI148" s="18" t="n">
        <f aca="false">IF($AD148=1,$G148,1)</f>
        <v>1</v>
      </c>
      <c r="AJ148" s="18" t="n">
        <f aca="false">IF($AD148=1,$V148,1)</f>
        <v>1</v>
      </c>
      <c r="AK148" s="18" t="n">
        <f aca="false">IF($AD148=1,$Y148,1)</f>
        <v>1</v>
      </c>
    </row>
    <row r="149" customFormat="false" ht="15" hidden="false" customHeight="false" outlineLevel="0" collapsed="false">
      <c r="A149" s="10"/>
      <c r="B149" s="10"/>
      <c r="C149" s="12"/>
      <c r="D149" s="17"/>
      <c r="E149" s="13"/>
      <c r="F149" s="21"/>
      <c r="G149" s="12"/>
      <c r="H149" s="12"/>
      <c r="I149" s="12"/>
      <c r="J149" s="12"/>
      <c r="K149" s="12"/>
      <c r="L149" s="12"/>
      <c r="M149" s="15"/>
      <c r="N149" s="15"/>
      <c r="O149" s="12"/>
      <c r="P149" s="17"/>
      <c r="Q149" s="22" t="str">
        <f aca="false">IF(OR($G149="",Setup!$B$5=""),"",Setup!$B$5/$G149)</f>
        <v/>
      </c>
      <c r="R149" s="23" t="str">
        <f aca="false">IF(OR($E149="",$Q149=""),"",1-(1-$E149)^$Q149)</f>
        <v/>
      </c>
      <c r="S149" s="22" t="str">
        <f aca="false">IF(OR($R149="",$H149=""),"",$H149*$R149)</f>
        <v/>
      </c>
      <c r="T149" s="23" t="str">
        <f aca="false">IF(OR($E149="",$I149=""),"",MIN(1,MIN(N($F149),$E149)+($E149-MIN(N($F149),$E149))*(1-$I149)))</f>
        <v/>
      </c>
      <c r="U149" s="23" t="str">
        <f aca="false">IF(OR($T149="",$Q149=""),"",1-(1-$T149)^$Q149)</f>
        <v/>
      </c>
      <c r="V149" s="23" t="str">
        <f aca="false">IF($M149&lt;&gt;"",$M149,IF($G149="","",MAX(1,(Setup!$B$6/$G149)^Setup!$B$7)))</f>
        <v/>
      </c>
      <c r="W149" s="22" t="str">
        <f aca="false">IF(COUNT($J149:$L149)&lt;3,"",Setup!$B$10*(6-$J149)+Setup!$B$11*$K149+Setup!$B$12*$L149)</f>
        <v/>
      </c>
      <c r="X149" s="23" t="str">
        <f aca="false">IF($W149="","",IF(LEFT(Setup!$B$15,1)="B",EXP(Setup!$B$14*($W149-1)),1+Setup!$B$14*($W149-1)))</f>
        <v/>
      </c>
      <c r="Y149" s="23" t="str">
        <f aca="false">IF($N149&lt;&gt;"",$N149,$X149)</f>
        <v/>
      </c>
      <c r="Z149" s="22" t="str">
        <f aca="false">IF(OR($H149="",$U149="",$V149=""),"",$H149*$U149*$V149)</f>
        <v/>
      </c>
      <c r="AA149" s="22" t="str">
        <f aca="false">IF(OR($Z149="",$Y149=""),"",$Z149*$Y149)</f>
        <v/>
      </c>
      <c r="AB149" s="1" t="str">
        <f aca="false">IF($A149="","",IF(OR($E149="",$G149="",$H149="",$I149="",AND($N149="",COUNT($J149:$L149)&lt;3)),"Missing: "&amp;IF($E149="","P ","")&amp;IF($G149="","T ","")&amp;IF($H149="","I ","")&amp;IF($I149="","C ","")&amp;IF(AND($N149="",COUNT($J149:$L149)&lt;3),"C_ctrl/C_ext/C_irr",""),IF(N($F149)&gt;$E149,"P_floor &gt; P (floor capped at P)","OK")))</f>
        <v/>
      </c>
      <c r="AC149" s="1" t="str">
        <f aca="false">IF($AA149="","",$AA149+ROW()/1000000)</f>
        <v/>
      </c>
      <c r="AD149" s="18" t="n">
        <f aca="false">IF(AND($A149&lt;&gt;"",ISNUMBER($AA149)),1,0)</f>
        <v>0</v>
      </c>
      <c r="AE149" s="18" t="n">
        <f aca="false">IF($AD149=1,$H149,0)</f>
        <v>0</v>
      </c>
      <c r="AF149" s="18" t="n">
        <f aca="false">IF($AD149=1,$E149,0)</f>
        <v>0</v>
      </c>
      <c r="AG149" s="18" t="n">
        <f aca="false">IF($AD149=1,MIN(N($F149),$E149),0)</f>
        <v>0</v>
      </c>
      <c r="AH149" s="18" t="n">
        <f aca="false">IF($AD149=1,$I149,0)</f>
        <v>0</v>
      </c>
      <c r="AI149" s="18" t="n">
        <f aca="false">IF($AD149=1,$G149,1)</f>
        <v>1</v>
      </c>
      <c r="AJ149" s="18" t="n">
        <f aca="false">IF($AD149=1,$V149,1)</f>
        <v>1</v>
      </c>
      <c r="AK149" s="18" t="n">
        <f aca="false">IF($AD149=1,$Y149,1)</f>
        <v>1</v>
      </c>
    </row>
    <row r="150" customFormat="false" ht="15" hidden="false" customHeight="false" outlineLevel="0" collapsed="false">
      <c r="A150" s="10"/>
      <c r="B150" s="10"/>
      <c r="C150" s="12"/>
      <c r="D150" s="17"/>
      <c r="E150" s="13"/>
      <c r="F150" s="21"/>
      <c r="G150" s="12"/>
      <c r="H150" s="12"/>
      <c r="I150" s="12"/>
      <c r="J150" s="12"/>
      <c r="K150" s="12"/>
      <c r="L150" s="12"/>
      <c r="M150" s="15"/>
      <c r="N150" s="15"/>
      <c r="O150" s="12"/>
      <c r="P150" s="17"/>
      <c r="Q150" s="22" t="str">
        <f aca="false">IF(OR($G150="",Setup!$B$5=""),"",Setup!$B$5/$G150)</f>
        <v/>
      </c>
      <c r="R150" s="23" t="str">
        <f aca="false">IF(OR($E150="",$Q150=""),"",1-(1-$E150)^$Q150)</f>
        <v/>
      </c>
      <c r="S150" s="22" t="str">
        <f aca="false">IF(OR($R150="",$H150=""),"",$H150*$R150)</f>
        <v/>
      </c>
      <c r="T150" s="23" t="str">
        <f aca="false">IF(OR($E150="",$I150=""),"",MIN(1,MIN(N($F150),$E150)+($E150-MIN(N($F150),$E150))*(1-$I150)))</f>
        <v/>
      </c>
      <c r="U150" s="23" t="str">
        <f aca="false">IF(OR($T150="",$Q150=""),"",1-(1-$T150)^$Q150)</f>
        <v/>
      </c>
      <c r="V150" s="23" t="str">
        <f aca="false">IF($M150&lt;&gt;"",$M150,IF($G150="","",MAX(1,(Setup!$B$6/$G150)^Setup!$B$7)))</f>
        <v/>
      </c>
      <c r="W150" s="22" t="str">
        <f aca="false">IF(COUNT($J150:$L150)&lt;3,"",Setup!$B$10*(6-$J150)+Setup!$B$11*$K150+Setup!$B$12*$L150)</f>
        <v/>
      </c>
      <c r="X150" s="23" t="str">
        <f aca="false">IF($W150="","",IF(LEFT(Setup!$B$15,1)="B",EXP(Setup!$B$14*($W150-1)),1+Setup!$B$14*($W150-1)))</f>
        <v/>
      </c>
      <c r="Y150" s="23" t="str">
        <f aca="false">IF($N150&lt;&gt;"",$N150,$X150)</f>
        <v/>
      </c>
      <c r="Z150" s="22" t="str">
        <f aca="false">IF(OR($H150="",$U150="",$V150=""),"",$H150*$U150*$V150)</f>
        <v/>
      </c>
      <c r="AA150" s="22" t="str">
        <f aca="false">IF(OR($Z150="",$Y150=""),"",$Z150*$Y150)</f>
        <v/>
      </c>
      <c r="AB150" s="1" t="str">
        <f aca="false">IF($A150="","",IF(OR($E150="",$G150="",$H150="",$I150="",AND($N150="",COUNT($J150:$L150)&lt;3)),"Missing: "&amp;IF($E150="","P ","")&amp;IF($G150="","T ","")&amp;IF($H150="","I ","")&amp;IF($I150="","C ","")&amp;IF(AND($N150="",COUNT($J150:$L150)&lt;3),"C_ctrl/C_ext/C_irr",""),IF(N($F150)&gt;$E150,"P_floor &gt; P (floor capped at P)","OK")))</f>
        <v/>
      </c>
      <c r="AC150" s="1" t="str">
        <f aca="false">IF($AA150="","",$AA150+ROW()/1000000)</f>
        <v/>
      </c>
      <c r="AD150" s="18" t="n">
        <f aca="false">IF(AND($A150&lt;&gt;"",ISNUMBER($AA150)),1,0)</f>
        <v>0</v>
      </c>
      <c r="AE150" s="18" t="n">
        <f aca="false">IF($AD150=1,$H150,0)</f>
        <v>0</v>
      </c>
      <c r="AF150" s="18" t="n">
        <f aca="false">IF($AD150=1,$E150,0)</f>
        <v>0</v>
      </c>
      <c r="AG150" s="18" t="n">
        <f aca="false">IF($AD150=1,MIN(N($F150),$E150),0)</f>
        <v>0</v>
      </c>
      <c r="AH150" s="18" t="n">
        <f aca="false">IF($AD150=1,$I150,0)</f>
        <v>0</v>
      </c>
      <c r="AI150" s="18" t="n">
        <f aca="false">IF($AD150=1,$G150,1)</f>
        <v>1</v>
      </c>
      <c r="AJ150" s="18" t="n">
        <f aca="false">IF($AD150=1,$V150,1)</f>
        <v>1</v>
      </c>
      <c r="AK150" s="18" t="n">
        <f aca="false">IF($AD150=1,$Y150,1)</f>
        <v>1</v>
      </c>
    </row>
    <row r="151" customFormat="false" ht="15" hidden="false" customHeight="false" outlineLevel="0" collapsed="false">
      <c r="A151" s="10"/>
      <c r="B151" s="10"/>
      <c r="C151" s="12"/>
      <c r="D151" s="17"/>
      <c r="E151" s="13"/>
      <c r="F151" s="21"/>
      <c r="G151" s="12"/>
      <c r="H151" s="12"/>
      <c r="I151" s="12"/>
      <c r="J151" s="12"/>
      <c r="K151" s="12"/>
      <c r="L151" s="12"/>
      <c r="M151" s="15"/>
      <c r="N151" s="15"/>
      <c r="O151" s="12"/>
      <c r="P151" s="17"/>
      <c r="Q151" s="22" t="str">
        <f aca="false">IF(OR($G151="",Setup!$B$5=""),"",Setup!$B$5/$G151)</f>
        <v/>
      </c>
      <c r="R151" s="23" t="str">
        <f aca="false">IF(OR($E151="",$Q151=""),"",1-(1-$E151)^$Q151)</f>
        <v/>
      </c>
      <c r="S151" s="22" t="str">
        <f aca="false">IF(OR($R151="",$H151=""),"",$H151*$R151)</f>
        <v/>
      </c>
      <c r="T151" s="23" t="str">
        <f aca="false">IF(OR($E151="",$I151=""),"",MIN(1,MIN(N($F151),$E151)+($E151-MIN(N($F151),$E151))*(1-$I151)))</f>
        <v/>
      </c>
      <c r="U151" s="23" t="str">
        <f aca="false">IF(OR($T151="",$Q151=""),"",1-(1-$T151)^$Q151)</f>
        <v/>
      </c>
      <c r="V151" s="23" t="str">
        <f aca="false">IF($M151&lt;&gt;"",$M151,IF($G151="","",MAX(1,(Setup!$B$6/$G151)^Setup!$B$7)))</f>
        <v/>
      </c>
      <c r="W151" s="22" t="str">
        <f aca="false">IF(COUNT($J151:$L151)&lt;3,"",Setup!$B$10*(6-$J151)+Setup!$B$11*$K151+Setup!$B$12*$L151)</f>
        <v/>
      </c>
      <c r="X151" s="23" t="str">
        <f aca="false">IF($W151="","",IF(LEFT(Setup!$B$15,1)="B",EXP(Setup!$B$14*($W151-1)),1+Setup!$B$14*($W151-1)))</f>
        <v/>
      </c>
      <c r="Y151" s="23" t="str">
        <f aca="false">IF($N151&lt;&gt;"",$N151,$X151)</f>
        <v/>
      </c>
      <c r="Z151" s="22" t="str">
        <f aca="false">IF(OR($H151="",$U151="",$V151=""),"",$H151*$U151*$V151)</f>
        <v/>
      </c>
      <c r="AA151" s="22" t="str">
        <f aca="false">IF(OR($Z151="",$Y151=""),"",$Z151*$Y151)</f>
        <v/>
      </c>
      <c r="AB151" s="1" t="str">
        <f aca="false">IF($A151="","",IF(OR($E151="",$G151="",$H151="",$I151="",AND($N151="",COUNT($J151:$L151)&lt;3)),"Missing: "&amp;IF($E151="","P ","")&amp;IF($G151="","T ","")&amp;IF($H151="","I ","")&amp;IF($I151="","C ","")&amp;IF(AND($N151="",COUNT($J151:$L151)&lt;3),"C_ctrl/C_ext/C_irr",""),IF(N($F151)&gt;$E151,"P_floor &gt; P (floor capped at P)","OK")))</f>
        <v/>
      </c>
      <c r="AC151" s="1" t="str">
        <f aca="false">IF($AA151="","",$AA151+ROW()/1000000)</f>
        <v/>
      </c>
      <c r="AD151" s="18" t="n">
        <f aca="false">IF(AND($A151&lt;&gt;"",ISNUMBER($AA151)),1,0)</f>
        <v>0</v>
      </c>
      <c r="AE151" s="18" t="n">
        <f aca="false">IF($AD151=1,$H151,0)</f>
        <v>0</v>
      </c>
      <c r="AF151" s="18" t="n">
        <f aca="false">IF($AD151=1,$E151,0)</f>
        <v>0</v>
      </c>
      <c r="AG151" s="18" t="n">
        <f aca="false">IF($AD151=1,MIN(N($F151),$E151),0)</f>
        <v>0</v>
      </c>
      <c r="AH151" s="18" t="n">
        <f aca="false">IF($AD151=1,$I151,0)</f>
        <v>0</v>
      </c>
      <c r="AI151" s="18" t="n">
        <f aca="false">IF($AD151=1,$G151,1)</f>
        <v>1</v>
      </c>
      <c r="AJ151" s="18" t="n">
        <f aca="false">IF($AD151=1,$V151,1)</f>
        <v>1</v>
      </c>
      <c r="AK151" s="18" t="n">
        <f aca="false">IF($AD151=1,$Y151,1)</f>
        <v>1</v>
      </c>
    </row>
    <row r="152" customFormat="false" ht="15" hidden="false" customHeight="false" outlineLevel="0" collapsed="false">
      <c r="A152" s="10"/>
      <c r="B152" s="10"/>
      <c r="C152" s="12"/>
      <c r="D152" s="17"/>
      <c r="E152" s="13"/>
      <c r="F152" s="21"/>
      <c r="G152" s="12"/>
      <c r="H152" s="12"/>
      <c r="I152" s="12"/>
      <c r="J152" s="12"/>
      <c r="K152" s="12"/>
      <c r="L152" s="12"/>
      <c r="M152" s="15"/>
      <c r="N152" s="15"/>
      <c r="O152" s="12"/>
      <c r="P152" s="17"/>
      <c r="Q152" s="22" t="str">
        <f aca="false">IF(OR($G152="",Setup!$B$5=""),"",Setup!$B$5/$G152)</f>
        <v/>
      </c>
      <c r="R152" s="23" t="str">
        <f aca="false">IF(OR($E152="",$Q152=""),"",1-(1-$E152)^$Q152)</f>
        <v/>
      </c>
      <c r="S152" s="22" t="str">
        <f aca="false">IF(OR($R152="",$H152=""),"",$H152*$R152)</f>
        <v/>
      </c>
      <c r="T152" s="23" t="str">
        <f aca="false">IF(OR($E152="",$I152=""),"",MIN(1,MIN(N($F152),$E152)+($E152-MIN(N($F152),$E152))*(1-$I152)))</f>
        <v/>
      </c>
      <c r="U152" s="23" t="str">
        <f aca="false">IF(OR($T152="",$Q152=""),"",1-(1-$T152)^$Q152)</f>
        <v/>
      </c>
      <c r="V152" s="23" t="str">
        <f aca="false">IF($M152&lt;&gt;"",$M152,IF($G152="","",MAX(1,(Setup!$B$6/$G152)^Setup!$B$7)))</f>
        <v/>
      </c>
      <c r="W152" s="22" t="str">
        <f aca="false">IF(COUNT($J152:$L152)&lt;3,"",Setup!$B$10*(6-$J152)+Setup!$B$11*$K152+Setup!$B$12*$L152)</f>
        <v/>
      </c>
      <c r="X152" s="23" t="str">
        <f aca="false">IF($W152="","",IF(LEFT(Setup!$B$15,1)="B",EXP(Setup!$B$14*($W152-1)),1+Setup!$B$14*($W152-1)))</f>
        <v/>
      </c>
      <c r="Y152" s="23" t="str">
        <f aca="false">IF($N152&lt;&gt;"",$N152,$X152)</f>
        <v/>
      </c>
      <c r="Z152" s="22" t="str">
        <f aca="false">IF(OR($H152="",$U152="",$V152=""),"",$H152*$U152*$V152)</f>
        <v/>
      </c>
      <c r="AA152" s="22" t="str">
        <f aca="false">IF(OR($Z152="",$Y152=""),"",$Z152*$Y152)</f>
        <v/>
      </c>
      <c r="AB152" s="1" t="str">
        <f aca="false">IF($A152="","",IF(OR($E152="",$G152="",$H152="",$I152="",AND($N152="",COUNT($J152:$L152)&lt;3)),"Missing: "&amp;IF($E152="","P ","")&amp;IF($G152="","T ","")&amp;IF($H152="","I ","")&amp;IF($I152="","C ","")&amp;IF(AND($N152="",COUNT($J152:$L152)&lt;3),"C_ctrl/C_ext/C_irr",""),IF(N($F152)&gt;$E152,"P_floor &gt; P (floor capped at P)","OK")))</f>
        <v/>
      </c>
      <c r="AC152" s="1" t="str">
        <f aca="false">IF($AA152="","",$AA152+ROW()/1000000)</f>
        <v/>
      </c>
      <c r="AD152" s="18" t="n">
        <f aca="false">IF(AND($A152&lt;&gt;"",ISNUMBER($AA152)),1,0)</f>
        <v>0</v>
      </c>
      <c r="AE152" s="18" t="n">
        <f aca="false">IF($AD152=1,$H152,0)</f>
        <v>0</v>
      </c>
      <c r="AF152" s="18" t="n">
        <f aca="false">IF($AD152=1,$E152,0)</f>
        <v>0</v>
      </c>
      <c r="AG152" s="18" t="n">
        <f aca="false">IF($AD152=1,MIN(N($F152),$E152),0)</f>
        <v>0</v>
      </c>
      <c r="AH152" s="18" t="n">
        <f aca="false">IF($AD152=1,$I152,0)</f>
        <v>0</v>
      </c>
      <c r="AI152" s="18" t="n">
        <f aca="false">IF($AD152=1,$G152,1)</f>
        <v>1</v>
      </c>
      <c r="AJ152" s="18" t="n">
        <f aca="false">IF($AD152=1,$V152,1)</f>
        <v>1</v>
      </c>
      <c r="AK152" s="18" t="n">
        <f aca="false">IF($AD152=1,$Y152,1)</f>
        <v>1</v>
      </c>
    </row>
    <row r="153" customFormat="false" ht="15" hidden="false" customHeight="false" outlineLevel="0" collapsed="false">
      <c r="A153" s="10"/>
      <c r="B153" s="10"/>
      <c r="C153" s="12"/>
      <c r="D153" s="17"/>
      <c r="E153" s="13"/>
      <c r="F153" s="21"/>
      <c r="G153" s="12"/>
      <c r="H153" s="12"/>
      <c r="I153" s="12"/>
      <c r="J153" s="12"/>
      <c r="K153" s="12"/>
      <c r="L153" s="12"/>
      <c r="M153" s="15"/>
      <c r="N153" s="15"/>
      <c r="O153" s="12"/>
      <c r="P153" s="17"/>
      <c r="Q153" s="22" t="str">
        <f aca="false">IF(OR($G153="",Setup!$B$5=""),"",Setup!$B$5/$G153)</f>
        <v/>
      </c>
      <c r="R153" s="23" t="str">
        <f aca="false">IF(OR($E153="",$Q153=""),"",1-(1-$E153)^$Q153)</f>
        <v/>
      </c>
      <c r="S153" s="22" t="str">
        <f aca="false">IF(OR($R153="",$H153=""),"",$H153*$R153)</f>
        <v/>
      </c>
      <c r="T153" s="23" t="str">
        <f aca="false">IF(OR($E153="",$I153=""),"",MIN(1,MIN(N($F153),$E153)+($E153-MIN(N($F153),$E153))*(1-$I153)))</f>
        <v/>
      </c>
      <c r="U153" s="23" t="str">
        <f aca="false">IF(OR($T153="",$Q153=""),"",1-(1-$T153)^$Q153)</f>
        <v/>
      </c>
      <c r="V153" s="23" t="str">
        <f aca="false">IF($M153&lt;&gt;"",$M153,IF($G153="","",MAX(1,(Setup!$B$6/$G153)^Setup!$B$7)))</f>
        <v/>
      </c>
      <c r="W153" s="22" t="str">
        <f aca="false">IF(COUNT($J153:$L153)&lt;3,"",Setup!$B$10*(6-$J153)+Setup!$B$11*$K153+Setup!$B$12*$L153)</f>
        <v/>
      </c>
      <c r="X153" s="23" t="str">
        <f aca="false">IF($W153="","",IF(LEFT(Setup!$B$15,1)="B",EXP(Setup!$B$14*($W153-1)),1+Setup!$B$14*($W153-1)))</f>
        <v/>
      </c>
      <c r="Y153" s="23" t="str">
        <f aca="false">IF($N153&lt;&gt;"",$N153,$X153)</f>
        <v/>
      </c>
      <c r="Z153" s="22" t="str">
        <f aca="false">IF(OR($H153="",$U153="",$V153=""),"",$H153*$U153*$V153)</f>
        <v/>
      </c>
      <c r="AA153" s="22" t="str">
        <f aca="false">IF(OR($Z153="",$Y153=""),"",$Z153*$Y153)</f>
        <v/>
      </c>
      <c r="AB153" s="1" t="str">
        <f aca="false">IF($A153="","",IF(OR($E153="",$G153="",$H153="",$I153="",AND($N153="",COUNT($J153:$L153)&lt;3)),"Missing: "&amp;IF($E153="","P ","")&amp;IF($G153="","T ","")&amp;IF($H153="","I ","")&amp;IF($I153="","C ","")&amp;IF(AND($N153="",COUNT($J153:$L153)&lt;3),"C_ctrl/C_ext/C_irr",""),IF(N($F153)&gt;$E153,"P_floor &gt; P (floor capped at P)","OK")))</f>
        <v/>
      </c>
      <c r="AC153" s="1" t="str">
        <f aca="false">IF($AA153="","",$AA153+ROW()/1000000)</f>
        <v/>
      </c>
      <c r="AD153" s="18" t="n">
        <f aca="false">IF(AND($A153&lt;&gt;"",ISNUMBER($AA153)),1,0)</f>
        <v>0</v>
      </c>
      <c r="AE153" s="18" t="n">
        <f aca="false">IF($AD153=1,$H153,0)</f>
        <v>0</v>
      </c>
      <c r="AF153" s="18" t="n">
        <f aca="false">IF($AD153=1,$E153,0)</f>
        <v>0</v>
      </c>
      <c r="AG153" s="18" t="n">
        <f aca="false">IF($AD153=1,MIN(N($F153),$E153),0)</f>
        <v>0</v>
      </c>
      <c r="AH153" s="18" t="n">
        <f aca="false">IF($AD153=1,$I153,0)</f>
        <v>0</v>
      </c>
      <c r="AI153" s="18" t="n">
        <f aca="false">IF($AD153=1,$G153,1)</f>
        <v>1</v>
      </c>
      <c r="AJ153" s="18" t="n">
        <f aca="false">IF($AD153=1,$V153,1)</f>
        <v>1</v>
      </c>
      <c r="AK153" s="18" t="n">
        <f aca="false">IF($AD153=1,$Y153,1)</f>
        <v>1</v>
      </c>
    </row>
    <row r="154" customFormat="false" ht="15" hidden="false" customHeight="false" outlineLevel="0" collapsed="false">
      <c r="A154" s="10"/>
      <c r="B154" s="10"/>
      <c r="C154" s="12"/>
      <c r="D154" s="17"/>
      <c r="E154" s="13"/>
      <c r="F154" s="21"/>
      <c r="G154" s="12"/>
      <c r="H154" s="12"/>
      <c r="I154" s="12"/>
      <c r="J154" s="12"/>
      <c r="K154" s="12"/>
      <c r="L154" s="12"/>
      <c r="M154" s="15"/>
      <c r="N154" s="15"/>
      <c r="O154" s="12"/>
      <c r="P154" s="17"/>
      <c r="Q154" s="22" t="str">
        <f aca="false">IF(OR($G154="",Setup!$B$5=""),"",Setup!$B$5/$G154)</f>
        <v/>
      </c>
      <c r="R154" s="23" t="str">
        <f aca="false">IF(OR($E154="",$Q154=""),"",1-(1-$E154)^$Q154)</f>
        <v/>
      </c>
      <c r="S154" s="22" t="str">
        <f aca="false">IF(OR($R154="",$H154=""),"",$H154*$R154)</f>
        <v/>
      </c>
      <c r="T154" s="23" t="str">
        <f aca="false">IF(OR($E154="",$I154=""),"",MIN(1,MIN(N($F154),$E154)+($E154-MIN(N($F154),$E154))*(1-$I154)))</f>
        <v/>
      </c>
      <c r="U154" s="23" t="str">
        <f aca="false">IF(OR($T154="",$Q154=""),"",1-(1-$T154)^$Q154)</f>
        <v/>
      </c>
      <c r="V154" s="23" t="str">
        <f aca="false">IF($M154&lt;&gt;"",$M154,IF($G154="","",MAX(1,(Setup!$B$6/$G154)^Setup!$B$7)))</f>
        <v/>
      </c>
      <c r="W154" s="22" t="str">
        <f aca="false">IF(COUNT($J154:$L154)&lt;3,"",Setup!$B$10*(6-$J154)+Setup!$B$11*$K154+Setup!$B$12*$L154)</f>
        <v/>
      </c>
      <c r="X154" s="23" t="str">
        <f aca="false">IF($W154="","",IF(LEFT(Setup!$B$15,1)="B",EXP(Setup!$B$14*($W154-1)),1+Setup!$B$14*($W154-1)))</f>
        <v/>
      </c>
      <c r="Y154" s="23" t="str">
        <f aca="false">IF($N154&lt;&gt;"",$N154,$X154)</f>
        <v/>
      </c>
      <c r="Z154" s="22" t="str">
        <f aca="false">IF(OR($H154="",$U154="",$V154=""),"",$H154*$U154*$V154)</f>
        <v/>
      </c>
      <c r="AA154" s="22" t="str">
        <f aca="false">IF(OR($Z154="",$Y154=""),"",$Z154*$Y154)</f>
        <v/>
      </c>
      <c r="AB154" s="1" t="str">
        <f aca="false">IF($A154="","",IF(OR($E154="",$G154="",$H154="",$I154="",AND($N154="",COUNT($J154:$L154)&lt;3)),"Missing: "&amp;IF($E154="","P ","")&amp;IF($G154="","T ","")&amp;IF($H154="","I ","")&amp;IF($I154="","C ","")&amp;IF(AND($N154="",COUNT($J154:$L154)&lt;3),"C_ctrl/C_ext/C_irr",""),IF(N($F154)&gt;$E154,"P_floor &gt; P (floor capped at P)","OK")))</f>
        <v/>
      </c>
      <c r="AC154" s="1" t="str">
        <f aca="false">IF($AA154="","",$AA154+ROW()/1000000)</f>
        <v/>
      </c>
      <c r="AD154" s="18" t="n">
        <f aca="false">IF(AND($A154&lt;&gt;"",ISNUMBER($AA154)),1,0)</f>
        <v>0</v>
      </c>
      <c r="AE154" s="18" t="n">
        <f aca="false">IF($AD154=1,$H154,0)</f>
        <v>0</v>
      </c>
      <c r="AF154" s="18" t="n">
        <f aca="false">IF($AD154=1,$E154,0)</f>
        <v>0</v>
      </c>
      <c r="AG154" s="18" t="n">
        <f aca="false">IF($AD154=1,MIN(N($F154),$E154),0)</f>
        <v>0</v>
      </c>
      <c r="AH154" s="18" t="n">
        <f aca="false">IF($AD154=1,$I154,0)</f>
        <v>0</v>
      </c>
      <c r="AI154" s="18" t="n">
        <f aca="false">IF($AD154=1,$G154,1)</f>
        <v>1</v>
      </c>
      <c r="AJ154" s="18" t="n">
        <f aca="false">IF($AD154=1,$V154,1)</f>
        <v>1</v>
      </c>
      <c r="AK154" s="18" t="n">
        <f aca="false">IF($AD154=1,$Y154,1)</f>
        <v>1</v>
      </c>
    </row>
    <row r="155" customFormat="false" ht="15" hidden="false" customHeight="false" outlineLevel="0" collapsed="false">
      <c r="A155" s="10"/>
      <c r="B155" s="10"/>
      <c r="C155" s="12"/>
      <c r="D155" s="17"/>
      <c r="E155" s="13"/>
      <c r="F155" s="21"/>
      <c r="G155" s="12"/>
      <c r="H155" s="12"/>
      <c r="I155" s="12"/>
      <c r="J155" s="12"/>
      <c r="K155" s="12"/>
      <c r="L155" s="12"/>
      <c r="M155" s="15"/>
      <c r="N155" s="15"/>
      <c r="O155" s="12"/>
      <c r="P155" s="17"/>
      <c r="Q155" s="22" t="str">
        <f aca="false">IF(OR($G155="",Setup!$B$5=""),"",Setup!$B$5/$G155)</f>
        <v/>
      </c>
      <c r="R155" s="23" t="str">
        <f aca="false">IF(OR($E155="",$Q155=""),"",1-(1-$E155)^$Q155)</f>
        <v/>
      </c>
      <c r="S155" s="22" t="str">
        <f aca="false">IF(OR($R155="",$H155=""),"",$H155*$R155)</f>
        <v/>
      </c>
      <c r="T155" s="23" t="str">
        <f aca="false">IF(OR($E155="",$I155=""),"",MIN(1,MIN(N($F155),$E155)+($E155-MIN(N($F155),$E155))*(1-$I155)))</f>
        <v/>
      </c>
      <c r="U155" s="23" t="str">
        <f aca="false">IF(OR($T155="",$Q155=""),"",1-(1-$T155)^$Q155)</f>
        <v/>
      </c>
      <c r="V155" s="23" t="str">
        <f aca="false">IF($M155&lt;&gt;"",$M155,IF($G155="","",MAX(1,(Setup!$B$6/$G155)^Setup!$B$7)))</f>
        <v/>
      </c>
      <c r="W155" s="22" t="str">
        <f aca="false">IF(COUNT($J155:$L155)&lt;3,"",Setup!$B$10*(6-$J155)+Setup!$B$11*$K155+Setup!$B$12*$L155)</f>
        <v/>
      </c>
      <c r="X155" s="23" t="str">
        <f aca="false">IF($W155="","",IF(LEFT(Setup!$B$15,1)="B",EXP(Setup!$B$14*($W155-1)),1+Setup!$B$14*($W155-1)))</f>
        <v/>
      </c>
      <c r="Y155" s="23" t="str">
        <f aca="false">IF($N155&lt;&gt;"",$N155,$X155)</f>
        <v/>
      </c>
      <c r="Z155" s="22" t="str">
        <f aca="false">IF(OR($H155="",$U155="",$V155=""),"",$H155*$U155*$V155)</f>
        <v/>
      </c>
      <c r="AA155" s="22" t="str">
        <f aca="false">IF(OR($Z155="",$Y155=""),"",$Z155*$Y155)</f>
        <v/>
      </c>
      <c r="AB155" s="1" t="str">
        <f aca="false">IF($A155="","",IF(OR($E155="",$G155="",$H155="",$I155="",AND($N155="",COUNT($J155:$L155)&lt;3)),"Missing: "&amp;IF($E155="","P ","")&amp;IF($G155="","T ","")&amp;IF($H155="","I ","")&amp;IF($I155="","C ","")&amp;IF(AND($N155="",COUNT($J155:$L155)&lt;3),"C_ctrl/C_ext/C_irr",""),IF(N($F155)&gt;$E155,"P_floor &gt; P (floor capped at P)","OK")))</f>
        <v/>
      </c>
      <c r="AC155" s="1" t="str">
        <f aca="false">IF($AA155="","",$AA155+ROW()/1000000)</f>
        <v/>
      </c>
      <c r="AD155" s="18" t="n">
        <f aca="false">IF(AND($A155&lt;&gt;"",ISNUMBER($AA155)),1,0)</f>
        <v>0</v>
      </c>
      <c r="AE155" s="18" t="n">
        <f aca="false">IF($AD155=1,$H155,0)</f>
        <v>0</v>
      </c>
      <c r="AF155" s="18" t="n">
        <f aca="false">IF($AD155=1,$E155,0)</f>
        <v>0</v>
      </c>
      <c r="AG155" s="18" t="n">
        <f aca="false">IF($AD155=1,MIN(N($F155),$E155),0)</f>
        <v>0</v>
      </c>
      <c r="AH155" s="18" t="n">
        <f aca="false">IF($AD155=1,$I155,0)</f>
        <v>0</v>
      </c>
      <c r="AI155" s="18" t="n">
        <f aca="false">IF($AD155=1,$G155,1)</f>
        <v>1</v>
      </c>
      <c r="AJ155" s="18" t="n">
        <f aca="false">IF($AD155=1,$V155,1)</f>
        <v>1</v>
      </c>
      <c r="AK155" s="18" t="n">
        <f aca="false">IF($AD155=1,$Y155,1)</f>
        <v>1</v>
      </c>
    </row>
    <row r="156" customFormat="false" ht="15" hidden="false" customHeight="false" outlineLevel="0" collapsed="false">
      <c r="A156" s="10"/>
      <c r="B156" s="10"/>
      <c r="C156" s="12"/>
      <c r="D156" s="17"/>
      <c r="E156" s="13"/>
      <c r="F156" s="21"/>
      <c r="G156" s="12"/>
      <c r="H156" s="12"/>
      <c r="I156" s="12"/>
      <c r="J156" s="12"/>
      <c r="K156" s="12"/>
      <c r="L156" s="12"/>
      <c r="M156" s="15"/>
      <c r="N156" s="15"/>
      <c r="O156" s="12"/>
      <c r="P156" s="17"/>
      <c r="Q156" s="22" t="str">
        <f aca="false">IF(OR($G156="",Setup!$B$5=""),"",Setup!$B$5/$G156)</f>
        <v/>
      </c>
      <c r="R156" s="23" t="str">
        <f aca="false">IF(OR($E156="",$Q156=""),"",1-(1-$E156)^$Q156)</f>
        <v/>
      </c>
      <c r="S156" s="22" t="str">
        <f aca="false">IF(OR($R156="",$H156=""),"",$H156*$R156)</f>
        <v/>
      </c>
      <c r="T156" s="23" t="str">
        <f aca="false">IF(OR($E156="",$I156=""),"",MIN(1,MIN(N($F156),$E156)+($E156-MIN(N($F156),$E156))*(1-$I156)))</f>
        <v/>
      </c>
      <c r="U156" s="23" t="str">
        <f aca="false">IF(OR($T156="",$Q156=""),"",1-(1-$T156)^$Q156)</f>
        <v/>
      </c>
      <c r="V156" s="23" t="str">
        <f aca="false">IF($M156&lt;&gt;"",$M156,IF($G156="","",MAX(1,(Setup!$B$6/$G156)^Setup!$B$7)))</f>
        <v/>
      </c>
      <c r="W156" s="22" t="str">
        <f aca="false">IF(COUNT($J156:$L156)&lt;3,"",Setup!$B$10*(6-$J156)+Setup!$B$11*$K156+Setup!$B$12*$L156)</f>
        <v/>
      </c>
      <c r="X156" s="23" t="str">
        <f aca="false">IF($W156="","",IF(LEFT(Setup!$B$15,1)="B",EXP(Setup!$B$14*($W156-1)),1+Setup!$B$14*($W156-1)))</f>
        <v/>
      </c>
      <c r="Y156" s="23" t="str">
        <f aca="false">IF($N156&lt;&gt;"",$N156,$X156)</f>
        <v/>
      </c>
      <c r="Z156" s="22" t="str">
        <f aca="false">IF(OR($H156="",$U156="",$V156=""),"",$H156*$U156*$V156)</f>
        <v/>
      </c>
      <c r="AA156" s="22" t="str">
        <f aca="false">IF(OR($Z156="",$Y156=""),"",$Z156*$Y156)</f>
        <v/>
      </c>
      <c r="AB156" s="1" t="str">
        <f aca="false">IF($A156="","",IF(OR($E156="",$G156="",$H156="",$I156="",AND($N156="",COUNT($J156:$L156)&lt;3)),"Missing: "&amp;IF($E156="","P ","")&amp;IF($G156="","T ","")&amp;IF($H156="","I ","")&amp;IF($I156="","C ","")&amp;IF(AND($N156="",COUNT($J156:$L156)&lt;3),"C_ctrl/C_ext/C_irr",""),IF(N($F156)&gt;$E156,"P_floor &gt; P (floor capped at P)","OK")))</f>
        <v/>
      </c>
      <c r="AC156" s="1" t="str">
        <f aca="false">IF($AA156="","",$AA156+ROW()/1000000)</f>
        <v/>
      </c>
      <c r="AD156" s="18" t="n">
        <f aca="false">IF(AND($A156&lt;&gt;"",ISNUMBER($AA156)),1,0)</f>
        <v>0</v>
      </c>
      <c r="AE156" s="18" t="n">
        <f aca="false">IF($AD156=1,$H156,0)</f>
        <v>0</v>
      </c>
      <c r="AF156" s="18" t="n">
        <f aca="false">IF($AD156=1,$E156,0)</f>
        <v>0</v>
      </c>
      <c r="AG156" s="18" t="n">
        <f aca="false">IF($AD156=1,MIN(N($F156),$E156),0)</f>
        <v>0</v>
      </c>
      <c r="AH156" s="18" t="n">
        <f aca="false">IF($AD156=1,$I156,0)</f>
        <v>0</v>
      </c>
      <c r="AI156" s="18" t="n">
        <f aca="false">IF($AD156=1,$G156,1)</f>
        <v>1</v>
      </c>
      <c r="AJ156" s="18" t="n">
        <f aca="false">IF($AD156=1,$V156,1)</f>
        <v>1</v>
      </c>
      <c r="AK156" s="18" t="n">
        <f aca="false">IF($AD156=1,$Y156,1)</f>
        <v>1</v>
      </c>
    </row>
    <row r="157" customFormat="false" ht="15" hidden="false" customHeight="false" outlineLevel="0" collapsed="false">
      <c r="A157" s="10"/>
      <c r="B157" s="10"/>
      <c r="C157" s="12"/>
      <c r="D157" s="17"/>
      <c r="E157" s="13"/>
      <c r="F157" s="21"/>
      <c r="G157" s="12"/>
      <c r="H157" s="12"/>
      <c r="I157" s="12"/>
      <c r="J157" s="12"/>
      <c r="K157" s="12"/>
      <c r="L157" s="12"/>
      <c r="M157" s="15"/>
      <c r="N157" s="15"/>
      <c r="O157" s="12"/>
      <c r="P157" s="17"/>
      <c r="Q157" s="22" t="str">
        <f aca="false">IF(OR($G157="",Setup!$B$5=""),"",Setup!$B$5/$G157)</f>
        <v/>
      </c>
      <c r="R157" s="23" t="str">
        <f aca="false">IF(OR($E157="",$Q157=""),"",1-(1-$E157)^$Q157)</f>
        <v/>
      </c>
      <c r="S157" s="22" t="str">
        <f aca="false">IF(OR($R157="",$H157=""),"",$H157*$R157)</f>
        <v/>
      </c>
      <c r="T157" s="23" t="str">
        <f aca="false">IF(OR($E157="",$I157=""),"",MIN(1,MIN(N($F157),$E157)+($E157-MIN(N($F157),$E157))*(1-$I157)))</f>
        <v/>
      </c>
      <c r="U157" s="23" t="str">
        <f aca="false">IF(OR($T157="",$Q157=""),"",1-(1-$T157)^$Q157)</f>
        <v/>
      </c>
      <c r="V157" s="23" t="str">
        <f aca="false">IF($M157&lt;&gt;"",$M157,IF($G157="","",MAX(1,(Setup!$B$6/$G157)^Setup!$B$7)))</f>
        <v/>
      </c>
      <c r="W157" s="22" t="str">
        <f aca="false">IF(COUNT($J157:$L157)&lt;3,"",Setup!$B$10*(6-$J157)+Setup!$B$11*$K157+Setup!$B$12*$L157)</f>
        <v/>
      </c>
      <c r="X157" s="23" t="str">
        <f aca="false">IF($W157="","",IF(LEFT(Setup!$B$15,1)="B",EXP(Setup!$B$14*($W157-1)),1+Setup!$B$14*($W157-1)))</f>
        <v/>
      </c>
      <c r="Y157" s="23" t="str">
        <f aca="false">IF($N157&lt;&gt;"",$N157,$X157)</f>
        <v/>
      </c>
      <c r="Z157" s="22" t="str">
        <f aca="false">IF(OR($H157="",$U157="",$V157=""),"",$H157*$U157*$V157)</f>
        <v/>
      </c>
      <c r="AA157" s="22" t="str">
        <f aca="false">IF(OR($Z157="",$Y157=""),"",$Z157*$Y157)</f>
        <v/>
      </c>
      <c r="AB157" s="1" t="str">
        <f aca="false">IF($A157="","",IF(OR($E157="",$G157="",$H157="",$I157="",AND($N157="",COUNT($J157:$L157)&lt;3)),"Missing: "&amp;IF($E157="","P ","")&amp;IF($G157="","T ","")&amp;IF($H157="","I ","")&amp;IF($I157="","C ","")&amp;IF(AND($N157="",COUNT($J157:$L157)&lt;3),"C_ctrl/C_ext/C_irr",""),IF(N($F157)&gt;$E157,"P_floor &gt; P (floor capped at P)","OK")))</f>
        <v/>
      </c>
      <c r="AC157" s="1" t="str">
        <f aca="false">IF($AA157="","",$AA157+ROW()/1000000)</f>
        <v/>
      </c>
      <c r="AD157" s="18" t="n">
        <f aca="false">IF(AND($A157&lt;&gt;"",ISNUMBER($AA157)),1,0)</f>
        <v>0</v>
      </c>
      <c r="AE157" s="18" t="n">
        <f aca="false">IF($AD157=1,$H157,0)</f>
        <v>0</v>
      </c>
      <c r="AF157" s="18" t="n">
        <f aca="false">IF($AD157=1,$E157,0)</f>
        <v>0</v>
      </c>
      <c r="AG157" s="18" t="n">
        <f aca="false">IF($AD157=1,MIN(N($F157),$E157),0)</f>
        <v>0</v>
      </c>
      <c r="AH157" s="18" t="n">
        <f aca="false">IF($AD157=1,$I157,0)</f>
        <v>0</v>
      </c>
      <c r="AI157" s="18" t="n">
        <f aca="false">IF($AD157=1,$G157,1)</f>
        <v>1</v>
      </c>
      <c r="AJ157" s="18" t="n">
        <f aca="false">IF($AD157=1,$V157,1)</f>
        <v>1</v>
      </c>
      <c r="AK157" s="18" t="n">
        <f aca="false">IF($AD157=1,$Y157,1)</f>
        <v>1</v>
      </c>
    </row>
    <row r="158" customFormat="false" ht="15" hidden="false" customHeight="false" outlineLevel="0" collapsed="false">
      <c r="A158" s="10"/>
      <c r="B158" s="10"/>
      <c r="C158" s="12"/>
      <c r="D158" s="17"/>
      <c r="E158" s="13"/>
      <c r="F158" s="21"/>
      <c r="G158" s="12"/>
      <c r="H158" s="12"/>
      <c r="I158" s="12"/>
      <c r="J158" s="12"/>
      <c r="K158" s="12"/>
      <c r="L158" s="12"/>
      <c r="M158" s="15"/>
      <c r="N158" s="15"/>
      <c r="O158" s="12"/>
      <c r="P158" s="17"/>
      <c r="Q158" s="22" t="str">
        <f aca="false">IF(OR($G158="",Setup!$B$5=""),"",Setup!$B$5/$G158)</f>
        <v/>
      </c>
      <c r="R158" s="23" t="str">
        <f aca="false">IF(OR($E158="",$Q158=""),"",1-(1-$E158)^$Q158)</f>
        <v/>
      </c>
      <c r="S158" s="22" t="str">
        <f aca="false">IF(OR($R158="",$H158=""),"",$H158*$R158)</f>
        <v/>
      </c>
      <c r="T158" s="23" t="str">
        <f aca="false">IF(OR($E158="",$I158=""),"",MIN(1,MIN(N($F158),$E158)+($E158-MIN(N($F158),$E158))*(1-$I158)))</f>
        <v/>
      </c>
      <c r="U158" s="23" t="str">
        <f aca="false">IF(OR($T158="",$Q158=""),"",1-(1-$T158)^$Q158)</f>
        <v/>
      </c>
      <c r="V158" s="23" t="str">
        <f aca="false">IF($M158&lt;&gt;"",$M158,IF($G158="","",MAX(1,(Setup!$B$6/$G158)^Setup!$B$7)))</f>
        <v/>
      </c>
      <c r="W158" s="22" t="str">
        <f aca="false">IF(COUNT($J158:$L158)&lt;3,"",Setup!$B$10*(6-$J158)+Setup!$B$11*$K158+Setup!$B$12*$L158)</f>
        <v/>
      </c>
      <c r="X158" s="23" t="str">
        <f aca="false">IF($W158="","",IF(LEFT(Setup!$B$15,1)="B",EXP(Setup!$B$14*($W158-1)),1+Setup!$B$14*($W158-1)))</f>
        <v/>
      </c>
      <c r="Y158" s="23" t="str">
        <f aca="false">IF($N158&lt;&gt;"",$N158,$X158)</f>
        <v/>
      </c>
      <c r="Z158" s="22" t="str">
        <f aca="false">IF(OR($H158="",$U158="",$V158=""),"",$H158*$U158*$V158)</f>
        <v/>
      </c>
      <c r="AA158" s="22" t="str">
        <f aca="false">IF(OR($Z158="",$Y158=""),"",$Z158*$Y158)</f>
        <v/>
      </c>
      <c r="AB158" s="1" t="str">
        <f aca="false">IF($A158="","",IF(OR($E158="",$G158="",$H158="",$I158="",AND($N158="",COUNT($J158:$L158)&lt;3)),"Missing: "&amp;IF($E158="","P ","")&amp;IF($G158="","T ","")&amp;IF($H158="","I ","")&amp;IF($I158="","C ","")&amp;IF(AND($N158="",COUNT($J158:$L158)&lt;3),"C_ctrl/C_ext/C_irr",""),IF(N($F158)&gt;$E158,"P_floor &gt; P (floor capped at P)","OK")))</f>
        <v/>
      </c>
      <c r="AC158" s="1" t="str">
        <f aca="false">IF($AA158="","",$AA158+ROW()/1000000)</f>
        <v/>
      </c>
      <c r="AD158" s="18" t="n">
        <f aca="false">IF(AND($A158&lt;&gt;"",ISNUMBER($AA158)),1,0)</f>
        <v>0</v>
      </c>
      <c r="AE158" s="18" t="n">
        <f aca="false">IF($AD158=1,$H158,0)</f>
        <v>0</v>
      </c>
      <c r="AF158" s="18" t="n">
        <f aca="false">IF($AD158=1,$E158,0)</f>
        <v>0</v>
      </c>
      <c r="AG158" s="18" t="n">
        <f aca="false">IF($AD158=1,MIN(N($F158),$E158),0)</f>
        <v>0</v>
      </c>
      <c r="AH158" s="18" t="n">
        <f aca="false">IF($AD158=1,$I158,0)</f>
        <v>0</v>
      </c>
      <c r="AI158" s="18" t="n">
        <f aca="false">IF($AD158=1,$G158,1)</f>
        <v>1</v>
      </c>
      <c r="AJ158" s="18" t="n">
        <f aca="false">IF($AD158=1,$V158,1)</f>
        <v>1</v>
      </c>
      <c r="AK158" s="18" t="n">
        <f aca="false">IF($AD158=1,$Y158,1)</f>
        <v>1</v>
      </c>
    </row>
    <row r="159" customFormat="false" ht="15" hidden="false" customHeight="false" outlineLevel="0" collapsed="false">
      <c r="A159" s="10"/>
      <c r="B159" s="10"/>
      <c r="C159" s="12"/>
      <c r="D159" s="17"/>
      <c r="E159" s="13"/>
      <c r="F159" s="21"/>
      <c r="G159" s="12"/>
      <c r="H159" s="12"/>
      <c r="I159" s="12"/>
      <c r="J159" s="12"/>
      <c r="K159" s="12"/>
      <c r="L159" s="12"/>
      <c r="M159" s="15"/>
      <c r="N159" s="15"/>
      <c r="O159" s="12"/>
      <c r="P159" s="17"/>
      <c r="Q159" s="22" t="str">
        <f aca="false">IF(OR($G159="",Setup!$B$5=""),"",Setup!$B$5/$G159)</f>
        <v/>
      </c>
      <c r="R159" s="23" t="str">
        <f aca="false">IF(OR($E159="",$Q159=""),"",1-(1-$E159)^$Q159)</f>
        <v/>
      </c>
      <c r="S159" s="22" t="str">
        <f aca="false">IF(OR($R159="",$H159=""),"",$H159*$R159)</f>
        <v/>
      </c>
      <c r="T159" s="23" t="str">
        <f aca="false">IF(OR($E159="",$I159=""),"",MIN(1,MIN(N($F159),$E159)+($E159-MIN(N($F159),$E159))*(1-$I159)))</f>
        <v/>
      </c>
      <c r="U159" s="23" t="str">
        <f aca="false">IF(OR($T159="",$Q159=""),"",1-(1-$T159)^$Q159)</f>
        <v/>
      </c>
      <c r="V159" s="23" t="str">
        <f aca="false">IF($M159&lt;&gt;"",$M159,IF($G159="","",MAX(1,(Setup!$B$6/$G159)^Setup!$B$7)))</f>
        <v/>
      </c>
      <c r="W159" s="22" t="str">
        <f aca="false">IF(COUNT($J159:$L159)&lt;3,"",Setup!$B$10*(6-$J159)+Setup!$B$11*$K159+Setup!$B$12*$L159)</f>
        <v/>
      </c>
      <c r="X159" s="23" t="str">
        <f aca="false">IF($W159="","",IF(LEFT(Setup!$B$15,1)="B",EXP(Setup!$B$14*($W159-1)),1+Setup!$B$14*($W159-1)))</f>
        <v/>
      </c>
      <c r="Y159" s="23" t="str">
        <f aca="false">IF($N159&lt;&gt;"",$N159,$X159)</f>
        <v/>
      </c>
      <c r="Z159" s="22" t="str">
        <f aca="false">IF(OR($H159="",$U159="",$V159=""),"",$H159*$U159*$V159)</f>
        <v/>
      </c>
      <c r="AA159" s="22" t="str">
        <f aca="false">IF(OR($Z159="",$Y159=""),"",$Z159*$Y159)</f>
        <v/>
      </c>
      <c r="AB159" s="1" t="str">
        <f aca="false">IF($A159="","",IF(OR($E159="",$G159="",$H159="",$I159="",AND($N159="",COUNT($J159:$L159)&lt;3)),"Missing: "&amp;IF($E159="","P ","")&amp;IF($G159="","T ","")&amp;IF($H159="","I ","")&amp;IF($I159="","C ","")&amp;IF(AND($N159="",COUNT($J159:$L159)&lt;3),"C_ctrl/C_ext/C_irr",""),IF(N($F159)&gt;$E159,"P_floor &gt; P (floor capped at P)","OK")))</f>
        <v/>
      </c>
      <c r="AC159" s="1" t="str">
        <f aca="false">IF($AA159="","",$AA159+ROW()/1000000)</f>
        <v/>
      </c>
      <c r="AD159" s="18" t="n">
        <f aca="false">IF(AND($A159&lt;&gt;"",ISNUMBER($AA159)),1,0)</f>
        <v>0</v>
      </c>
      <c r="AE159" s="18" t="n">
        <f aca="false">IF($AD159=1,$H159,0)</f>
        <v>0</v>
      </c>
      <c r="AF159" s="18" t="n">
        <f aca="false">IF($AD159=1,$E159,0)</f>
        <v>0</v>
      </c>
      <c r="AG159" s="18" t="n">
        <f aca="false">IF($AD159=1,MIN(N($F159),$E159),0)</f>
        <v>0</v>
      </c>
      <c r="AH159" s="18" t="n">
        <f aca="false">IF($AD159=1,$I159,0)</f>
        <v>0</v>
      </c>
      <c r="AI159" s="18" t="n">
        <f aca="false">IF($AD159=1,$G159,1)</f>
        <v>1</v>
      </c>
      <c r="AJ159" s="18" t="n">
        <f aca="false">IF($AD159=1,$V159,1)</f>
        <v>1</v>
      </c>
      <c r="AK159" s="18" t="n">
        <f aca="false">IF($AD159=1,$Y159,1)</f>
        <v>1</v>
      </c>
    </row>
    <row r="160" customFormat="false" ht="15" hidden="false" customHeight="false" outlineLevel="0" collapsed="false">
      <c r="A160" s="10"/>
      <c r="B160" s="10"/>
      <c r="C160" s="12"/>
      <c r="D160" s="17"/>
      <c r="E160" s="13"/>
      <c r="F160" s="21"/>
      <c r="G160" s="12"/>
      <c r="H160" s="12"/>
      <c r="I160" s="12"/>
      <c r="J160" s="12"/>
      <c r="K160" s="12"/>
      <c r="L160" s="12"/>
      <c r="M160" s="15"/>
      <c r="N160" s="15"/>
      <c r="O160" s="12"/>
      <c r="P160" s="17"/>
      <c r="Q160" s="22" t="str">
        <f aca="false">IF(OR($G160="",Setup!$B$5=""),"",Setup!$B$5/$G160)</f>
        <v/>
      </c>
      <c r="R160" s="23" t="str">
        <f aca="false">IF(OR($E160="",$Q160=""),"",1-(1-$E160)^$Q160)</f>
        <v/>
      </c>
      <c r="S160" s="22" t="str">
        <f aca="false">IF(OR($R160="",$H160=""),"",$H160*$R160)</f>
        <v/>
      </c>
      <c r="T160" s="23" t="str">
        <f aca="false">IF(OR($E160="",$I160=""),"",MIN(1,MIN(N($F160),$E160)+($E160-MIN(N($F160),$E160))*(1-$I160)))</f>
        <v/>
      </c>
      <c r="U160" s="23" t="str">
        <f aca="false">IF(OR($T160="",$Q160=""),"",1-(1-$T160)^$Q160)</f>
        <v/>
      </c>
      <c r="V160" s="23" t="str">
        <f aca="false">IF($M160&lt;&gt;"",$M160,IF($G160="","",MAX(1,(Setup!$B$6/$G160)^Setup!$B$7)))</f>
        <v/>
      </c>
      <c r="W160" s="22" t="str">
        <f aca="false">IF(COUNT($J160:$L160)&lt;3,"",Setup!$B$10*(6-$J160)+Setup!$B$11*$K160+Setup!$B$12*$L160)</f>
        <v/>
      </c>
      <c r="X160" s="23" t="str">
        <f aca="false">IF($W160="","",IF(LEFT(Setup!$B$15,1)="B",EXP(Setup!$B$14*($W160-1)),1+Setup!$B$14*($W160-1)))</f>
        <v/>
      </c>
      <c r="Y160" s="23" t="str">
        <f aca="false">IF($N160&lt;&gt;"",$N160,$X160)</f>
        <v/>
      </c>
      <c r="Z160" s="22" t="str">
        <f aca="false">IF(OR($H160="",$U160="",$V160=""),"",$H160*$U160*$V160)</f>
        <v/>
      </c>
      <c r="AA160" s="22" t="str">
        <f aca="false">IF(OR($Z160="",$Y160=""),"",$Z160*$Y160)</f>
        <v/>
      </c>
      <c r="AB160" s="1" t="str">
        <f aca="false">IF($A160="","",IF(OR($E160="",$G160="",$H160="",$I160="",AND($N160="",COUNT($J160:$L160)&lt;3)),"Missing: "&amp;IF($E160="","P ","")&amp;IF($G160="","T ","")&amp;IF($H160="","I ","")&amp;IF($I160="","C ","")&amp;IF(AND($N160="",COUNT($J160:$L160)&lt;3),"C_ctrl/C_ext/C_irr",""),IF(N($F160)&gt;$E160,"P_floor &gt; P (floor capped at P)","OK")))</f>
        <v/>
      </c>
      <c r="AC160" s="1" t="str">
        <f aca="false">IF($AA160="","",$AA160+ROW()/1000000)</f>
        <v/>
      </c>
      <c r="AD160" s="18" t="n">
        <f aca="false">IF(AND($A160&lt;&gt;"",ISNUMBER($AA160)),1,0)</f>
        <v>0</v>
      </c>
      <c r="AE160" s="18" t="n">
        <f aca="false">IF($AD160=1,$H160,0)</f>
        <v>0</v>
      </c>
      <c r="AF160" s="18" t="n">
        <f aca="false">IF($AD160=1,$E160,0)</f>
        <v>0</v>
      </c>
      <c r="AG160" s="18" t="n">
        <f aca="false">IF($AD160=1,MIN(N($F160),$E160),0)</f>
        <v>0</v>
      </c>
      <c r="AH160" s="18" t="n">
        <f aca="false">IF($AD160=1,$I160,0)</f>
        <v>0</v>
      </c>
      <c r="AI160" s="18" t="n">
        <f aca="false">IF($AD160=1,$G160,1)</f>
        <v>1</v>
      </c>
      <c r="AJ160" s="18" t="n">
        <f aca="false">IF($AD160=1,$V160,1)</f>
        <v>1</v>
      </c>
      <c r="AK160" s="18" t="n">
        <f aca="false">IF($AD160=1,$Y160,1)</f>
        <v>1</v>
      </c>
    </row>
    <row r="161" customFormat="false" ht="15" hidden="false" customHeight="false" outlineLevel="0" collapsed="false">
      <c r="A161" s="10"/>
      <c r="B161" s="10"/>
      <c r="C161" s="12"/>
      <c r="D161" s="17"/>
      <c r="E161" s="13"/>
      <c r="F161" s="21"/>
      <c r="G161" s="12"/>
      <c r="H161" s="12"/>
      <c r="I161" s="12"/>
      <c r="J161" s="12"/>
      <c r="K161" s="12"/>
      <c r="L161" s="12"/>
      <c r="M161" s="15"/>
      <c r="N161" s="15"/>
      <c r="O161" s="12"/>
      <c r="P161" s="17"/>
      <c r="Q161" s="22" t="str">
        <f aca="false">IF(OR($G161="",Setup!$B$5=""),"",Setup!$B$5/$G161)</f>
        <v/>
      </c>
      <c r="R161" s="23" t="str">
        <f aca="false">IF(OR($E161="",$Q161=""),"",1-(1-$E161)^$Q161)</f>
        <v/>
      </c>
      <c r="S161" s="22" t="str">
        <f aca="false">IF(OR($R161="",$H161=""),"",$H161*$R161)</f>
        <v/>
      </c>
      <c r="T161" s="23" t="str">
        <f aca="false">IF(OR($E161="",$I161=""),"",MIN(1,MIN(N($F161),$E161)+($E161-MIN(N($F161),$E161))*(1-$I161)))</f>
        <v/>
      </c>
      <c r="U161" s="23" t="str">
        <f aca="false">IF(OR($T161="",$Q161=""),"",1-(1-$T161)^$Q161)</f>
        <v/>
      </c>
      <c r="V161" s="23" t="str">
        <f aca="false">IF($M161&lt;&gt;"",$M161,IF($G161="","",MAX(1,(Setup!$B$6/$G161)^Setup!$B$7)))</f>
        <v/>
      </c>
      <c r="W161" s="22" t="str">
        <f aca="false">IF(COUNT($J161:$L161)&lt;3,"",Setup!$B$10*(6-$J161)+Setup!$B$11*$K161+Setup!$B$12*$L161)</f>
        <v/>
      </c>
      <c r="X161" s="23" t="str">
        <f aca="false">IF($W161="","",IF(LEFT(Setup!$B$15,1)="B",EXP(Setup!$B$14*($W161-1)),1+Setup!$B$14*($W161-1)))</f>
        <v/>
      </c>
      <c r="Y161" s="23" t="str">
        <f aca="false">IF($N161&lt;&gt;"",$N161,$X161)</f>
        <v/>
      </c>
      <c r="Z161" s="22" t="str">
        <f aca="false">IF(OR($H161="",$U161="",$V161=""),"",$H161*$U161*$V161)</f>
        <v/>
      </c>
      <c r="AA161" s="22" t="str">
        <f aca="false">IF(OR($Z161="",$Y161=""),"",$Z161*$Y161)</f>
        <v/>
      </c>
      <c r="AB161" s="1" t="str">
        <f aca="false">IF($A161="","",IF(OR($E161="",$G161="",$H161="",$I161="",AND($N161="",COUNT($J161:$L161)&lt;3)),"Missing: "&amp;IF($E161="","P ","")&amp;IF($G161="","T ","")&amp;IF($H161="","I ","")&amp;IF($I161="","C ","")&amp;IF(AND($N161="",COUNT($J161:$L161)&lt;3),"C_ctrl/C_ext/C_irr",""),IF(N($F161)&gt;$E161,"P_floor &gt; P (floor capped at P)","OK")))</f>
        <v/>
      </c>
      <c r="AC161" s="1" t="str">
        <f aca="false">IF($AA161="","",$AA161+ROW()/1000000)</f>
        <v/>
      </c>
      <c r="AD161" s="18" t="n">
        <f aca="false">IF(AND($A161&lt;&gt;"",ISNUMBER($AA161)),1,0)</f>
        <v>0</v>
      </c>
      <c r="AE161" s="18" t="n">
        <f aca="false">IF($AD161=1,$H161,0)</f>
        <v>0</v>
      </c>
      <c r="AF161" s="18" t="n">
        <f aca="false">IF($AD161=1,$E161,0)</f>
        <v>0</v>
      </c>
      <c r="AG161" s="18" t="n">
        <f aca="false">IF($AD161=1,MIN(N($F161),$E161),0)</f>
        <v>0</v>
      </c>
      <c r="AH161" s="18" t="n">
        <f aca="false">IF($AD161=1,$I161,0)</f>
        <v>0</v>
      </c>
      <c r="AI161" s="18" t="n">
        <f aca="false">IF($AD161=1,$G161,1)</f>
        <v>1</v>
      </c>
      <c r="AJ161" s="18" t="n">
        <f aca="false">IF($AD161=1,$V161,1)</f>
        <v>1</v>
      </c>
      <c r="AK161" s="18" t="n">
        <f aca="false">IF($AD161=1,$Y161,1)</f>
        <v>1</v>
      </c>
    </row>
    <row r="162" customFormat="false" ht="15" hidden="false" customHeight="false" outlineLevel="0" collapsed="false">
      <c r="A162" s="10"/>
      <c r="B162" s="10"/>
      <c r="C162" s="12"/>
      <c r="D162" s="17"/>
      <c r="E162" s="13"/>
      <c r="F162" s="21"/>
      <c r="G162" s="12"/>
      <c r="H162" s="12"/>
      <c r="I162" s="12"/>
      <c r="J162" s="12"/>
      <c r="K162" s="12"/>
      <c r="L162" s="12"/>
      <c r="M162" s="15"/>
      <c r="N162" s="15"/>
      <c r="O162" s="12"/>
      <c r="P162" s="17"/>
      <c r="Q162" s="22" t="str">
        <f aca="false">IF(OR($G162="",Setup!$B$5=""),"",Setup!$B$5/$G162)</f>
        <v/>
      </c>
      <c r="R162" s="23" t="str">
        <f aca="false">IF(OR($E162="",$Q162=""),"",1-(1-$E162)^$Q162)</f>
        <v/>
      </c>
      <c r="S162" s="22" t="str">
        <f aca="false">IF(OR($R162="",$H162=""),"",$H162*$R162)</f>
        <v/>
      </c>
      <c r="T162" s="23" t="str">
        <f aca="false">IF(OR($E162="",$I162=""),"",MIN(1,MIN(N($F162),$E162)+($E162-MIN(N($F162),$E162))*(1-$I162)))</f>
        <v/>
      </c>
      <c r="U162" s="23" t="str">
        <f aca="false">IF(OR($T162="",$Q162=""),"",1-(1-$T162)^$Q162)</f>
        <v/>
      </c>
      <c r="V162" s="23" t="str">
        <f aca="false">IF($M162&lt;&gt;"",$M162,IF($G162="","",MAX(1,(Setup!$B$6/$G162)^Setup!$B$7)))</f>
        <v/>
      </c>
      <c r="W162" s="22" t="str">
        <f aca="false">IF(COUNT($J162:$L162)&lt;3,"",Setup!$B$10*(6-$J162)+Setup!$B$11*$K162+Setup!$B$12*$L162)</f>
        <v/>
      </c>
      <c r="X162" s="23" t="str">
        <f aca="false">IF($W162="","",IF(LEFT(Setup!$B$15,1)="B",EXP(Setup!$B$14*($W162-1)),1+Setup!$B$14*($W162-1)))</f>
        <v/>
      </c>
      <c r="Y162" s="23" t="str">
        <f aca="false">IF($N162&lt;&gt;"",$N162,$X162)</f>
        <v/>
      </c>
      <c r="Z162" s="22" t="str">
        <f aca="false">IF(OR($H162="",$U162="",$V162=""),"",$H162*$U162*$V162)</f>
        <v/>
      </c>
      <c r="AA162" s="22" t="str">
        <f aca="false">IF(OR($Z162="",$Y162=""),"",$Z162*$Y162)</f>
        <v/>
      </c>
      <c r="AB162" s="1" t="str">
        <f aca="false">IF($A162="","",IF(OR($E162="",$G162="",$H162="",$I162="",AND($N162="",COUNT($J162:$L162)&lt;3)),"Missing: "&amp;IF($E162="","P ","")&amp;IF($G162="","T ","")&amp;IF($H162="","I ","")&amp;IF($I162="","C ","")&amp;IF(AND($N162="",COUNT($J162:$L162)&lt;3),"C_ctrl/C_ext/C_irr",""),IF(N($F162)&gt;$E162,"P_floor &gt; P (floor capped at P)","OK")))</f>
        <v/>
      </c>
      <c r="AC162" s="1" t="str">
        <f aca="false">IF($AA162="","",$AA162+ROW()/1000000)</f>
        <v/>
      </c>
      <c r="AD162" s="18" t="n">
        <f aca="false">IF(AND($A162&lt;&gt;"",ISNUMBER($AA162)),1,0)</f>
        <v>0</v>
      </c>
      <c r="AE162" s="18" t="n">
        <f aca="false">IF($AD162=1,$H162,0)</f>
        <v>0</v>
      </c>
      <c r="AF162" s="18" t="n">
        <f aca="false">IF($AD162=1,$E162,0)</f>
        <v>0</v>
      </c>
      <c r="AG162" s="18" t="n">
        <f aca="false">IF($AD162=1,MIN(N($F162),$E162),0)</f>
        <v>0</v>
      </c>
      <c r="AH162" s="18" t="n">
        <f aca="false">IF($AD162=1,$I162,0)</f>
        <v>0</v>
      </c>
      <c r="AI162" s="18" t="n">
        <f aca="false">IF($AD162=1,$G162,1)</f>
        <v>1</v>
      </c>
      <c r="AJ162" s="18" t="n">
        <f aca="false">IF($AD162=1,$V162,1)</f>
        <v>1</v>
      </c>
      <c r="AK162" s="18" t="n">
        <f aca="false">IF($AD162=1,$Y162,1)</f>
        <v>1</v>
      </c>
    </row>
    <row r="163" customFormat="false" ht="15" hidden="false" customHeight="false" outlineLevel="0" collapsed="false">
      <c r="A163" s="10"/>
      <c r="B163" s="10"/>
      <c r="C163" s="12"/>
      <c r="D163" s="17"/>
      <c r="E163" s="13"/>
      <c r="F163" s="21"/>
      <c r="G163" s="12"/>
      <c r="H163" s="12"/>
      <c r="I163" s="12"/>
      <c r="J163" s="12"/>
      <c r="K163" s="12"/>
      <c r="L163" s="12"/>
      <c r="M163" s="15"/>
      <c r="N163" s="15"/>
      <c r="O163" s="12"/>
      <c r="P163" s="17"/>
      <c r="Q163" s="22" t="str">
        <f aca="false">IF(OR($G163="",Setup!$B$5=""),"",Setup!$B$5/$G163)</f>
        <v/>
      </c>
      <c r="R163" s="23" t="str">
        <f aca="false">IF(OR($E163="",$Q163=""),"",1-(1-$E163)^$Q163)</f>
        <v/>
      </c>
      <c r="S163" s="22" t="str">
        <f aca="false">IF(OR($R163="",$H163=""),"",$H163*$R163)</f>
        <v/>
      </c>
      <c r="T163" s="23" t="str">
        <f aca="false">IF(OR($E163="",$I163=""),"",MIN(1,MIN(N($F163),$E163)+($E163-MIN(N($F163),$E163))*(1-$I163)))</f>
        <v/>
      </c>
      <c r="U163" s="23" t="str">
        <f aca="false">IF(OR($T163="",$Q163=""),"",1-(1-$T163)^$Q163)</f>
        <v/>
      </c>
      <c r="V163" s="23" t="str">
        <f aca="false">IF($M163&lt;&gt;"",$M163,IF($G163="","",MAX(1,(Setup!$B$6/$G163)^Setup!$B$7)))</f>
        <v/>
      </c>
      <c r="W163" s="22" t="str">
        <f aca="false">IF(COUNT($J163:$L163)&lt;3,"",Setup!$B$10*(6-$J163)+Setup!$B$11*$K163+Setup!$B$12*$L163)</f>
        <v/>
      </c>
      <c r="X163" s="23" t="str">
        <f aca="false">IF($W163="","",IF(LEFT(Setup!$B$15,1)="B",EXP(Setup!$B$14*($W163-1)),1+Setup!$B$14*($W163-1)))</f>
        <v/>
      </c>
      <c r="Y163" s="23" t="str">
        <f aca="false">IF($N163&lt;&gt;"",$N163,$X163)</f>
        <v/>
      </c>
      <c r="Z163" s="22" t="str">
        <f aca="false">IF(OR($H163="",$U163="",$V163=""),"",$H163*$U163*$V163)</f>
        <v/>
      </c>
      <c r="AA163" s="22" t="str">
        <f aca="false">IF(OR($Z163="",$Y163=""),"",$Z163*$Y163)</f>
        <v/>
      </c>
      <c r="AB163" s="1" t="str">
        <f aca="false">IF($A163="","",IF(OR($E163="",$G163="",$H163="",$I163="",AND($N163="",COUNT($J163:$L163)&lt;3)),"Missing: "&amp;IF($E163="","P ","")&amp;IF($G163="","T ","")&amp;IF($H163="","I ","")&amp;IF($I163="","C ","")&amp;IF(AND($N163="",COUNT($J163:$L163)&lt;3),"C_ctrl/C_ext/C_irr",""),IF(N($F163)&gt;$E163,"P_floor &gt; P (floor capped at P)","OK")))</f>
        <v/>
      </c>
      <c r="AC163" s="1" t="str">
        <f aca="false">IF($AA163="","",$AA163+ROW()/1000000)</f>
        <v/>
      </c>
      <c r="AD163" s="18" t="n">
        <f aca="false">IF(AND($A163&lt;&gt;"",ISNUMBER($AA163)),1,0)</f>
        <v>0</v>
      </c>
      <c r="AE163" s="18" t="n">
        <f aca="false">IF($AD163=1,$H163,0)</f>
        <v>0</v>
      </c>
      <c r="AF163" s="18" t="n">
        <f aca="false">IF($AD163=1,$E163,0)</f>
        <v>0</v>
      </c>
      <c r="AG163" s="18" t="n">
        <f aca="false">IF($AD163=1,MIN(N($F163),$E163),0)</f>
        <v>0</v>
      </c>
      <c r="AH163" s="18" t="n">
        <f aca="false">IF($AD163=1,$I163,0)</f>
        <v>0</v>
      </c>
      <c r="AI163" s="18" t="n">
        <f aca="false">IF($AD163=1,$G163,1)</f>
        <v>1</v>
      </c>
      <c r="AJ163" s="18" t="n">
        <f aca="false">IF($AD163=1,$V163,1)</f>
        <v>1</v>
      </c>
      <c r="AK163" s="18" t="n">
        <f aca="false">IF($AD163=1,$Y163,1)</f>
        <v>1</v>
      </c>
    </row>
    <row r="164" customFormat="false" ht="15" hidden="false" customHeight="false" outlineLevel="0" collapsed="false">
      <c r="A164" s="10"/>
      <c r="B164" s="10"/>
      <c r="C164" s="12"/>
      <c r="D164" s="17"/>
      <c r="E164" s="13"/>
      <c r="F164" s="21"/>
      <c r="G164" s="12"/>
      <c r="H164" s="12"/>
      <c r="I164" s="12"/>
      <c r="J164" s="12"/>
      <c r="K164" s="12"/>
      <c r="L164" s="12"/>
      <c r="M164" s="15"/>
      <c r="N164" s="15"/>
      <c r="O164" s="12"/>
      <c r="P164" s="17"/>
      <c r="Q164" s="22" t="str">
        <f aca="false">IF(OR($G164="",Setup!$B$5=""),"",Setup!$B$5/$G164)</f>
        <v/>
      </c>
      <c r="R164" s="23" t="str">
        <f aca="false">IF(OR($E164="",$Q164=""),"",1-(1-$E164)^$Q164)</f>
        <v/>
      </c>
      <c r="S164" s="22" t="str">
        <f aca="false">IF(OR($R164="",$H164=""),"",$H164*$R164)</f>
        <v/>
      </c>
      <c r="T164" s="23" t="str">
        <f aca="false">IF(OR($E164="",$I164=""),"",MIN(1,MIN(N($F164),$E164)+($E164-MIN(N($F164),$E164))*(1-$I164)))</f>
        <v/>
      </c>
      <c r="U164" s="23" t="str">
        <f aca="false">IF(OR($T164="",$Q164=""),"",1-(1-$T164)^$Q164)</f>
        <v/>
      </c>
      <c r="V164" s="23" t="str">
        <f aca="false">IF($M164&lt;&gt;"",$M164,IF($G164="","",MAX(1,(Setup!$B$6/$G164)^Setup!$B$7)))</f>
        <v/>
      </c>
      <c r="W164" s="22" t="str">
        <f aca="false">IF(COUNT($J164:$L164)&lt;3,"",Setup!$B$10*(6-$J164)+Setup!$B$11*$K164+Setup!$B$12*$L164)</f>
        <v/>
      </c>
      <c r="X164" s="23" t="str">
        <f aca="false">IF($W164="","",IF(LEFT(Setup!$B$15,1)="B",EXP(Setup!$B$14*($W164-1)),1+Setup!$B$14*($W164-1)))</f>
        <v/>
      </c>
      <c r="Y164" s="23" t="str">
        <f aca="false">IF($N164&lt;&gt;"",$N164,$X164)</f>
        <v/>
      </c>
      <c r="Z164" s="22" t="str">
        <f aca="false">IF(OR($H164="",$U164="",$V164=""),"",$H164*$U164*$V164)</f>
        <v/>
      </c>
      <c r="AA164" s="22" t="str">
        <f aca="false">IF(OR($Z164="",$Y164=""),"",$Z164*$Y164)</f>
        <v/>
      </c>
      <c r="AB164" s="1" t="str">
        <f aca="false">IF($A164="","",IF(OR($E164="",$G164="",$H164="",$I164="",AND($N164="",COUNT($J164:$L164)&lt;3)),"Missing: "&amp;IF($E164="","P ","")&amp;IF($G164="","T ","")&amp;IF($H164="","I ","")&amp;IF($I164="","C ","")&amp;IF(AND($N164="",COUNT($J164:$L164)&lt;3),"C_ctrl/C_ext/C_irr",""),IF(N($F164)&gt;$E164,"P_floor &gt; P (floor capped at P)","OK")))</f>
        <v/>
      </c>
      <c r="AC164" s="1" t="str">
        <f aca="false">IF($AA164="","",$AA164+ROW()/1000000)</f>
        <v/>
      </c>
      <c r="AD164" s="18" t="n">
        <f aca="false">IF(AND($A164&lt;&gt;"",ISNUMBER($AA164)),1,0)</f>
        <v>0</v>
      </c>
      <c r="AE164" s="18" t="n">
        <f aca="false">IF($AD164=1,$H164,0)</f>
        <v>0</v>
      </c>
      <c r="AF164" s="18" t="n">
        <f aca="false">IF($AD164=1,$E164,0)</f>
        <v>0</v>
      </c>
      <c r="AG164" s="18" t="n">
        <f aca="false">IF($AD164=1,MIN(N($F164),$E164),0)</f>
        <v>0</v>
      </c>
      <c r="AH164" s="18" t="n">
        <f aca="false">IF($AD164=1,$I164,0)</f>
        <v>0</v>
      </c>
      <c r="AI164" s="18" t="n">
        <f aca="false">IF($AD164=1,$G164,1)</f>
        <v>1</v>
      </c>
      <c r="AJ164" s="18" t="n">
        <f aca="false">IF($AD164=1,$V164,1)</f>
        <v>1</v>
      </c>
      <c r="AK164" s="18" t="n">
        <f aca="false">IF($AD164=1,$Y164,1)</f>
        <v>1</v>
      </c>
    </row>
    <row r="165" customFormat="false" ht="15" hidden="false" customHeight="false" outlineLevel="0" collapsed="false">
      <c r="A165" s="10"/>
      <c r="B165" s="10"/>
      <c r="C165" s="12"/>
      <c r="D165" s="17"/>
      <c r="E165" s="13"/>
      <c r="F165" s="21"/>
      <c r="G165" s="12"/>
      <c r="H165" s="12"/>
      <c r="I165" s="12"/>
      <c r="J165" s="12"/>
      <c r="K165" s="12"/>
      <c r="L165" s="12"/>
      <c r="M165" s="15"/>
      <c r="N165" s="15"/>
      <c r="O165" s="12"/>
      <c r="P165" s="17"/>
      <c r="Q165" s="22" t="str">
        <f aca="false">IF(OR($G165="",Setup!$B$5=""),"",Setup!$B$5/$G165)</f>
        <v/>
      </c>
      <c r="R165" s="23" t="str">
        <f aca="false">IF(OR($E165="",$Q165=""),"",1-(1-$E165)^$Q165)</f>
        <v/>
      </c>
      <c r="S165" s="22" t="str">
        <f aca="false">IF(OR($R165="",$H165=""),"",$H165*$R165)</f>
        <v/>
      </c>
      <c r="T165" s="23" t="str">
        <f aca="false">IF(OR($E165="",$I165=""),"",MIN(1,MIN(N($F165),$E165)+($E165-MIN(N($F165),$E165))*(1-$I165)))</f>
        <v/>
      </c>
      <c r="U165" s="23" t="str">
        <f aca="false">IF(OR($T165="",$Q165=""),"",1-(1-$T165)^$Q165)</f>
        <v/>
      </c>
      <c r="V165" s="23" t="str">
        <f aca="false">IF($M165&lt;&gt;"",$M165,IF($G165="","",MAX(1,(Setup!$B$6/$G165)^Setup!$B$7)))</f>
        <v/>
      </c>
      <c r="W165" s="22" t="str">
        <f aca="false">IF(COUNT($J165:$L165)&lt;3,"",Setup!$B$10*(6-$J165)+Setup!$B$11*$K165+Setup!$B$12*$L165)</f>
        <v/>
      </c>
      <c r="X165" s="23" t="str">
        <f aca="false">IF($W165="","",IF(LEFT(Setup!$B$15,1)="B",EXP(Setup!$B$14*($W165-1)),1+Setup!$B$14*($W165-1)))</f>
        <v/>
      </c>
      <c r="Y165" s="23" t="str">
        <f aca="false">IF($N165&lt;&gt;"",$N165,$X165)</f>
        <v/>
      </c>
      <c r="Z165" s="22" t="str">
        <f aca="false">IF(OR($H165="",$U165="",$V165=""),"",$H165*$U165*$V165)</f>
        <v/>
      </c>
      <c r="AA165" s="22" t="str">
        <f aca="false">IF(OR($Z165="",$Y165=""),"",$Z165*$Y165)</f>
        <v/>
      </c>
      <c r="AB165" s="1" t="str">
        <f aca="false">IF($A165="","",IF(OR($E165="",$G165="",$H165="",$I165="",AND($N165="",COUNT($J165:$L165)&lt;3)),"Missing: "&amp;IF($E165="","P ","")&amp;IF($G165="","T ","")&amp;IF($H165="","I ","")&amp;IF($I165="","C ","")&amp;IF(AND($N165="",COUNT($J165:$L165)&lt;3),"C_ctrl/C_ext/C_irr",""),IF(N($F165)&gt;$E165,"P_floor &gt; P (floor capped at P)","OK")))</f>
        <v/>
      </c>
      <c r="AC165" s="1" t="str">
        <f aca="false">IF($AA165="","",$AA165+ROW()/1000000)</f>
        <v/>
      </c>
      <c r="AD165" s="18" t="n">
        <f aca="false">IF(AND($A165&lt;&gt;"",ISNUMBER($AA165)),1,0)</f>
        <v>0</v>
      </c>
      <c r="AE165" s="18" t="n">
        <f aca="false">IF($AD165=1,$H165,0)</f>
        <v>0</v>
      </c>
      <c r="AF165" s="18" t="n">
        <f aca="false">IF($AD165=1,$E165,0)</f>
        <v>0</v>
      </c>
      <c r="AG165" s="18" t="n">
        <f aca="false">IF($AD165=1,MIN(N($F165),$E165),0)</f>
        <v>0</v>
      </c>
      <c r="AH165" s="18" t="n">
        <f aca="false">IF($AD165=1,$I165,0)</f>
        <v>0</v>
      </c>
      <c r="AI165" s="18" t="n">
        <f aca="false">IF($AD165=1,$G165,1)</f>
        <v>1</v>
      </c>
      <c r="AJ165" s="18" t="n">
        <f aca="false">IF($AD165=1,$V165,1)</f>
        <v>1</v>
      </c>
      <c r="AK165" s="18" t="n">
        <f aca="false">IF($AD165=1,$Y165,1)</f>
        <v>1</v>
      </c>
    </row>
    <row r="166" customFormat="false" ht="15" hidden="false" customHeight="false" outlineLevel="0" collapsed="false">
      <c r="A166" s="10"/>
      <c r="B166" s="10"/>
      <c r="C166" s="12"/>
      <c r="D166" s="17"/>
      <c r="E166" s="13"/>
      <c r="F166" s="21"/>
      <c r="G166" s="12"/>
      <c r="H166" s="12"/>
      <c r="I166" s="12"/>
      <c r="J166" s="12"/>
      <c r="K166" s="12"/>
      <c r="L166" s="12"/>
      <c r="M166" s="15"/>
      <c r="N166" s="15"/>
      <c r="O166" s="12"/>
      <c r="P166" s="17"/>
      <c r="Q166" s="22" t="str">
        <f aca="false">IF(OR($G166="",Setup!$B$5=""),"",Setup!$B$5/$G166)</f>
        <v/>
      </c>
      <c r="R166" s="23" t="str">
        <f aca="false">IF(OR($E166="",$Q166=""),"",1-(1-$E166)^$Q166)</f>
        <v/>
      </c>
      <c r="S166" s="22" t="str">
        <f aca="false">IF(OR($R166="",$H166=""),"",$H166*$R166)</f>
        <v/>
      </c>
      <c r="T166" s="23" t="str">
        <f aca="false">IF(OR($E166="",$I166=""),"",MIN(1,MIN(N($F166),$E166)+($E166-MIN(N($F166),$E166))*(1-$I166)))</f>
        <v/>
      </c>
      <c r="U166" s="23" t="str">
        <f aca="false">IF(OR($T166="",$Q166=""),"",1-(1-$T166)^$Q166)</f>
        <v/>
      </c>
      <c r="V166" s="23" t="str">
        <f aca="false">IF($M166&lt;&gt;"",$M166,IF($G166="","",MAX(1,(Setup!$B$6/$G166)^Setup!$B$7)))</f>
        <v/>
      </c>
      <c r="W166" s="22" t="str">
        <f aca="false">IF(COUNT($J166:$L166)&lt;3,"",Setup!$B$10*(6-$J166)+Setup!$B$11*$K166+Setup!$B$12*$L166)</f>
        <v/>
      </c>
      <c r="X166" s="23" t="str">
        <f aca="false">IF($W166="","",IF(LEFT(Setup!$B$15,1)="B",EXP(Setup!$B$14*($W166-1)),1+Setup!$B$14*($W166-1)))</f>
        <v/>
      </c>
      <c r="Y166" s="23" t="str">
        <f aca="false">IF($N166&lt;&gt;"",$N166,$X166)</f>
        <v/>
      </c>
      <c r="Z166" s="22" t="str">
        <f aca="false">IF(OR($H166="",$U166="",$V166=""),"",$H166*$U166*$V166)</f>
        <v/>
      </c>
      <c r="AA166" s="22" t="str">
        <f aca="false">IF(OR($Z166="",$Y166=""),"",$Z166*$Y166)</f>
        <v/>
      </c>
      <c r="AB166" s="1" t="str">
        <f aca="false">IF($A166="","",IF(OR($E166="",$G166="",$H166="",$I166="",AND($N166="",COUNT($J166:$L166)&lt;3)),"Missing: "&amp;IF($E166="","P ","")&amp;IF($G166="","T ","")&amp;IF($H166="","I ","")&amp;IF($I166="","C ","")&amp;IF(AND($N166="",COUNT($J166:$L166)&lt;3),"C_ctrl/C_ext/C_irr",""),IF(N($F166)&gt;$E166,"P_floor &gt; P (floor capped at P)","OK")))</f>
        <v/>
      </c>
      <c r="AC166" s="1" t="str">
        <f aca="false">IF($AA166="","",$AA166+ROW()/1000000)</f>
        <v/>
      </c>
      <c r="AD166" s="18" t="n">
        <f aca="false">IF(AND($A166&lt;&gt;"",ISNUMBER($AA166)),1,0)</f>
        <v>0</v>
      </c>
      <c r="AE166" s="18" t="n">
        <f aca="false">IF($AD166=1,$H166,0)</f>
        <v>0</v>
      </c>
      <c r="AF166" s="18" t="n">
        <f aca="false">IF($AD166=1,$E166,0)</f>
        <v>0</v>
      </c>
      <c r="AG166" s="18" t="n">
        <f aca="false">IF($AD166=1,MIN(N($F166),$E166),0)</f>
        <v>0</v>
      </c>
      <c r="AH166" s="18" t="n">
        <f aca="false">IF($AD166=1,$I166,0)</f>
        <v>0</v>
      </c>
      <c r="AI166" s="18" t="n">
        <f aca="false">IF($AD166=1,$G166,1)</f>
        <v>1</v>
      </c>
      <c r="AJ166" s="18" t="n">
        <f aca="false">IF($AD166=1,$V166,1)</f>
        <v>1</v>
      </c>
      <c r="AK166" s="18" t="n">
        <f aca="false">IF($AD166=1,$Y166,1)</f>
        <v>1</v>
      </c>
    </row>
    <row r="167" customFormat="false" ht="15" hidden="false" customHeight="false" outlineLevel="0" collapsed="false">
      <c r="A167" s="10"/>
      <c r="B167" s="10"/>
      <c r="C167" s="12"/>
      <c r="D167" s="17"/>
      <c r="E167" s="13"/>
      <c r="F167" s="21"/>
      <c r="G167" s="12"/>
      <c r="H167" s="12"/>
      <c r="I167" s="12"/>
      <c r="J167" s="12"/>
      <c r="K167" s="12"/>
      <c r="L167" s="12"/>
      <c r="M167" s="15"/>
      <c r="N167" s="15"/>
      <c r="O167" s="12"/>
      <c r="P167" s="17"/>
      <c r="Q167" s="22" t="str">
        <f aca="false">IF(OR($G167="",Setup!$B$5=""),"",Setup!$B$5/$G167)</f>
        <v/>
      </c>
      <c r="R167" s="23" t="str">
        <f aca="false">IF(OR($E167="",$Q167=""),"",1-(1-$E167)^$Q167)</f>
        <v/>
      </c>
      <c r="S167" s="22" t="str">
        <f aca="false">IF(OR($R167="",$H167=""),"",$H167*$R167)</f>
        <v/>
      </c>
      <c r="T167" s="23" t="str">
        <f aca="false">IF(OR($E167="",$I167=""),"",MIN(1,MIN(N($F167),$E167)+($E167-MIN(N($F167),$E167))*(1-$I167)))</f>
        <v/>
      </c>
      <c r="U167" s="23" t="str">
        <f aca="false">IF(OR($T167="",$Q167=""),"",1-(1-$T167)^$Q167)</f>
        <v/>
      </c>
      <c r="V167" s="23" t="str">
        <f aca="false">IF($M167&lt;&gt;"",$M167,IF($G167="","",MAX(1,(Setup!$B$6/$G167)^Setup!$B$7)))</f>
        <v/>
      </c>
      <c r="W167" s="22" t="str">
        <f aca="false">IF(COUNT($J167:$L167)&lt;3,"",Setup!$B$10*(6-$J167)+Setup!$B$11*$K167+Setup!$B$12*$L167)</f>
        <v/>
      </c>
      <c r="X167" s="23" t="str">
        <f aca="false">IF($W167="","",IF(LEFT(Setup!$B$15,1)="B",EXP(Setup!$B$14*($W167-1)),1+Setup!$B$14*($W167-1)))</f>
        <v/>
      </c>
      <c r="Y167" s="23" t="str">
        <f aca="false">IF($N167&lt;&gt;"",$N167,$X167)</f>
        <v/>
      </c>
      <c r="Z167" s="22" t="str">
        <f aca="false">IF(OR($H167="",$U167="",$V167=""),"",$H167*$U167*$V167)</f>
        <v/>
      </c>
      <c r="AA167" s="22" t="str">
        <f aca="false">IF(OR($Z167="",$Y167=""),"",$Z167*$Y167)</f>
        <v/>
      </c>
      <c r="AB167" s="1" t="str">
        <f aca="false">IF($A167="","",IF(OR($E167="",$G167="",$H167="",$I167="",AND($N167="",COUNT($J167:$L167)&lt;3)),"Missing: "&amp;IF($E167="","P ","")&amp;IF($G167="","T ","")&amp;IF($H167="","I ","")&amp;IF($I167="","C ","")&amp;IF(AND($N167="",COUNT($J167:$L167)&lt;3),"C_ctrl/C_ext/C_irr",""),IF(N($F167)&gt;$E167,"P_floor &gt; P (floor capped at P)","OK")))</f>
        <v/>
      </c>
      <c r="AC167" s="1" t="str">
        <f aca="false">IF($AA167="","",$AA167+ROW()/1000000)</f>
        <v/>
      </c>
      <c r="AD167" s="18" t="n">
        <f aca="false">IF(AND($A167&lt;&gt;"",ISNUMBER($AA167)),1,0)</f>
        <v>0</v>
      </c>
      <c r="AE167" s="18" t="n">
        <f aca="false">IF($AD167=1,$H167,0)</f>
        <v>0</v>
      </c>
      <c r="AF167" s="18" t="n">
        <f aca="false">IF($AD167=1,$E167,0)</f>
        <v>0</v>
      </c>
      <c r="AG167" s="18" t="n">
        <f aca="false">IF($AD167=1,MIN(N($F167),$E167),0)</f>
        <v>0</v>
      </c>
      <c r="AH167" s="18" t="n">
        <f aca="false">IF($AD167=1,$I167,0)</f>
        <v>0</v>
      </c>
      <c r="AI167" s="18" t="n">
        <f aca="false">IF($AD167=1,$G167,1)</f>
        <v>1</v>
      </c>
      <c r="AJ167" s="18" t="n">
        <f aca="false">IF($AD167=1,$V167,1)</f>
        <v>1</v>
      </c>
      <c r="AK167" s="18" t="n">
        <f aca="false">IF($AD167=1,$Y167,1)</f>
        <v>1</v>
      </c>
    </row>
    <row r="168" customFormat="false" ht="15" hidden="false" customHeight="false" outlineLevel="0" collapsed="false">
      <c r="A168" s="10"/>
      <c r="B168" s="10"/>
      <c r="C168" s="12"/>
      <c r="D168" s="17"/>
      <c r="E168" s="13"/>
      <c r="F168" s="21"/>
      <c r="G168" s="12"/>
      <c r="H168" s="12"/>
      <c r="I168" s="12"/>
      <c r="J168" s="12"/>
      <c r="K168" s="12"/>
      <c r="L168" s="12"/>
      <c r="M168" s="15"/>
      <c r="N168" s="15"/>
      <c r="O168" s="12"/>
      <c r="P168" s="17"/>
      <c r="Q168" s="22" t="str">
        <f aca="false">IF(OR($G168="",Setup!$B$5=""),"",Setup!$B$5/$G168)</f>
        <v/>
      </c>
      <c r="R168" s="23" t="str">
        <f aca="false">IF(OR($E168="",$Q168=""),"",1-(1-$E168)^$Q168)</f>
        <v/>
      </c>
      <c r="S168" s="22" t="str">
        <f aca="false">IF(OR($R168="",$H168=""),"",$H168*$R168)</f>
        <v/>
      </c>
      <c r="T168" s="23" t="str">
        <f aca="false">IF(OR($E168="",$I168=""),"",MIN(1,MIN(N($F168),$E168)+($E168-MIN(N($F168),$E168))*(1-$I168)))</f>
        <v/>
      </c>
      <c r="U168" s="23" t="str">
        <f aca="false">IF(OR($T168="",$Q168=""),"",1-(1-$T168)^$Q168)</f>
        <v/>
      </c>
      <c r="V168" s="23" t="str">
        <f aca="false">IF($M168&lt;&gt;"",$M168,IF($G168="","",MAX(1,(Setup!$B$6/$G168)^Setup!$B$7)))</f>
        <v/>
      </c>
      <c r="W168" s="22" t="str">
        <f aca="false">IF(COUNT($J168:$L168)&lt;3,"",Setup!$B$10*(6-$J168)+Setup!$B$11*$K168+Setup!$B$12*$L168)</f>
        <v/>
      </c>
      <c r="X168" s="23" t="str">
        <f aca="false">IF($W168="","",IF(LEFT(Setup!$B$15,1)="B",EXP(Setup!$B$14*($W168-1)),1+Setup!$B$14*($W168-1)))</f>
        <v/>
      </c>
      <c r="Y168" s="23" t="str">
        <f aca="false">IF($N168&lt;&gt;"",$N168,$X168)</f>
        <v/>
      </c>
      <c r="Z168" s="22" t="str">
        <f aca="false">IF(OR($H168="",$U168="",$V168=""),"",$H168*$U168*$V168)</f>
        <v/>
      </c>
      <c r="AA168" s="22" t="str">
        <f aca="false">IF(OR($Z168="",$Y168=""),"",$Z168*$Y168)</f>
        <v/>
      </c>
      <c r="AB168" s="1" t="str">
        <f aca="false">IF($A168="","",IF(OR($E168="",$G168="",$H168="",$I168="",AND($N168="",COUNT($J168:$L168)&lt;3)),"Missing: "&amp;IF($E168="","P ","")&amp;IF($G168="","T ","")&amp;IF($H168="","I ","")&amp;IF($I168="","C ","")&amp;IF(AND($N168="",COUNT($J168:$L168)&lt;3),"C_ctrl/C_ext/C_irr",""),IF(N($F168)&gt;$E168,"P_floor &gt; P (floor capped at P)","OK")))</f>
        <v/>
      </c>
      <c r="AC168" s="1" t="str">
        <f aca="false">IF($AA168="","",$AA168+ROW()/1000000)</f>
        <v/>
      </c>
      <c r="AD168" s="18" t="n">
        <f aca="false">IF(AND($A168&lt;&gt;"",ISNUMBER($AA168)),1,0)</f>
        <v>0</v>
      </c>
      <c r="AE168" s="18" t="n">
        <f aca="false">IF($AD168=1,$H168,0)</f>
        <v>0</v>
      </c>
      <c r="AF168" s="18" t="n">
        <f aca="false">IF($AD168=1,$E168,0)</f>
        <v>0</v>
      </c>
      <c r="AG168" s="18" t="n">
        <f aca="false">IF($AD168=1,MIN(N($F168),$E168),0)</f>
        <v>0</v>
      </c>
      <c r="AH168" s="18" t="n">
        <f aca="false">IF($AD168=1,$I168,0)</f>
        <v>0</v>
      </c>
      <c r="AI168" s="18" t="n">
        <f aca="false">IF($AD168=1,$G168,1)</f>
        <v>1</v>
      </c>
      <c r="AJ168" s="18" t="n">
        <f aca="false">IF($AD168=1,$V168,1)</f>
        <v>1</v>
      </c>
      <c r="AK168" s="18" t="n">
        <f aca="false">IF($AD168=1,$Y168,1)</f>
        <v>1</v>
      </c>
    </row>
    <row r="169" customFormat="false" ht="15" hidden="false" customHeight="false" outlineLevel="0" collapsed="false">
      <c r="A169" s="10"/>
      <c r="B169" s="10"/>
      <c r="C169" s="12"/>
      <c r="D169" s="17"/>
      <c r="E169" s="13"/>
      <c r="F169" s="21"/>
      <c r="G169" s="12"/>
      <c r="H169" s="12"/>
      <c r="I169" s="12"/>
      <c r="J169" s="12"/>
      <c r="K169" s="12"/>
      <c r="L169" s="12"/>
      <c r="M169" s="15"/>
      <c r="N169" s="15"/>
      <c r="O169" s="12"/>
      <c r="P169" s="17"/>
      <c r="Q169" s="22" t="str">
        <f aca="false">IF(OR($G169="",Setup!$B$5=""),"",Setup!$B$5/$G169)</f>
        <v/>
      </c>
      <c r="R169" s="23" t="str">
        <f aca="false">IF(OR($E169="",$Q169=""),"",1-(1-$E169)^$Q169)</f>
        <v/>
      </c>
      <c r="S169" s="22" t="str">
        <f aca="false">IF(OR($R169="",$H169=""),"",$H169*$R169)</f>
        <v/>
      </c>
      <c r="T169" s="23" t="str">
        <f aca="false">IF(OR($E169="",$I169=""),"",MIN(1,MIN(N($F169),$E169)+($E169-MIN(N($F169),$E169))*(1-$I169)))</f>
        <v/>
      </c>
      <c r="U169" s="23" t="str">
        <f aca="false">IF(OR($T169="",$Q169=""),"",1-(1-$T169)^$Q169)</f>
        <v/>
      </c>
      <c r="V169" s="23" t="str">
        <f aca="false">IF($M169&lt;&gt;"",$M169,IF($G169="","",MAX(1,(Setup!$B$6/$G169)^Setup!$B$7)))</f>
        <v/>
      </c>
      <c r="W169" s="22" t="str">
        <f aca="false">IF(COUNT($J169:$L169)&lt;3,"",Setup!$B$10*(6-$J169)+Setup!$B$11*$K169+Setup!$B$12*$L169)</f>
        <v/>
      </c>
      <c r="X169" s="23" t="str">
        <f aca="false">IF($W169="","",IF(LEFT(Setup!$B$15,1)="B",EXP(Setup!$B$14*($W169-1)),1+Setup!$B$14*($W169-1)))</f>
        <v/>
      </c>
      <c r="Y169" s="23" t="str">
        <f aca="false">IF($N169&lt;&gt;"",$N169,$X169)</f>
        <v/>
      </c>
      <c r="Z169" s="22" t="str">
        <f aca="false">IF(OR($H169="",$U169="",$V169=""),"",$H169*$U169*$V169)</f>
        <v/>
      </c>
      <c r="AA169" s="22" t="str">
        <f aca="false">IF(OR($Z169="",$Y169=""),"",$Z169*$Y169)</f>
        <v/>
      </c>
      <c r="AB169" s="1" t="str">
        <f aca="false">IF($A169="","",IF(OR($E169="",$G169="",$H169="",$I169="",AND($N169="",COUNT($J169:$L169)&lt;3)),"Missing: "&amp;IF($E169="","P ","")&amp;IF($G169="","T ","")&amp;IF($H169="","I ","")&amp;IF($I169="","C ","")&amp;IF(AND($N169="",COUNT($J169:$L169)&lt;3),"C_ctrl/C_ext/C_irr",""),IF(N($F169)&gt;$E169,"P_floor &gt; P (floor capped at P)","OK")))</f>
        <v/>
      </c>
      <c r="AC169" s="1" t="str">
        <f aca="false">IF($AA169="","",$AA169+ROW()/1000000)</f>
        <v/>
      </c>
      <c r="AD169" s="18" t="n">
        <f aca="false">IF(AND($A169&lt;&gt;"",ISNUMBER($AA169)),1,0)</f>
        <v>0</v>
      </c>
      <c r="AE169" s="18" t="n">
        <f aca="false">IF($AD169=1,$H169,0)</f>
        <v>0</v>
      </c>
      <c r="AF169" s="18" t="n">
        <f aca="false">IF($AD169=1,$E169,0)</f>
        <v>0</v>
      </c>
      <c r="AG169" s="18" t="n">
        <f aca="false">IF($AD169=1,MIN(N($F169),$E169),0)</f>
        <v>0</v>
      </c>
      <c r="AH169" s="18" t="n">
        <f aca="false">IF($AD169=1,$I169,0)</f>
        <v>0</v>
      </c>
      <c r="AI169" s="18" t="n">
        <f aca="false">IF($AD169=1,$G169,1)</f>
        <v>1</v>
      </c>
      <c r="AJ169" s="18" t="n">
        <f aca="false">IF($AD169=1,$V169,1)</f>
        <v>1</v>
      </c>
      <c r="AK169" s="18" t="n">
        <f aca="false">IF($AD169=1,$Y169,1)</f>
        <v>1</v>
      </c>
    </row>
    <row r="170" customFormat="false" ht="15" hidden="false" customHeight="false" outlineLevel="0" collapsed="false">
      <c r="A170" s="10"/>
      <c r="B170" s="10"/>
      <c r="C170" s="12"/>
      <c r="D170" s="17"/>
      <c r="E170" s="13"/>
      <c r="F170" s="21"/>
      <c r="G170" s="12"/>
      <c r="H170" s="12"/>
      <c r="I170" s="12"/>
      <c r="J170" s="12"/>
      <c r="K170" s="12"/>
      <c r="L170" s="12"/>
      <c r="M170" s="15"/>
      <c r="N170" s="15"/>
      <c r="O170" s="12"/>
      <c r="P170" s="17"/>
      <c r="Q170" s="22" t="str">
        <f aca="false">IF(OR($G170="",Setup!$B$5=""),"",Setup!$B$5/$G170)</f>
        <v/>
      </c>
      <c r="R170" s="23" t="str">
        <f aca="false">IF(OR($E170="",$Q170=""),"",1-(1-$E170)^$Q170)</f>
        <v/>
      </c>
      <c r="S170" s="22" t="str">
        <f aca="false">IF(OR($R170="",$H170=""),"",$H170*$R170)</f>
        <v/>
      </c>
      <c r="T170" s="23" t="str">
        <f aca="false">IF(OR($E170="",$I170=""),"",MIN(1,MIN(N($F170),$E170)+($E170-MIN(N($F170),$E170))*(1-$I170)))</f>
        <v/>
      </c>
      <c r="U170" s="23" t="str">
        <f aca="false">IF(OR($T170="",$Q170=""),"",1-(1-$T170)^$Q170)</f>
        <v/>
      </c>
      <c r="V170" s="23" t="str">
        <f aca="false">IF($M170&lt;&gt;"",$M170,IF($G170="","",MAX(1,(Setup!$B$6/$G170)^Setup!$B$7)))</f>
        <v/>
      </c>
      <c r="W170" s="22" t="str">
        <f aca="false">IF(COUNT($J170:$L170)&lt;3,"",Setup!$B$10*(6-$J170)+Setup!$B$11*$K170+Setup!$B$12*$L170)</f>
        <v/>
      </c>
      <c r="X170" s="23" t="str">
        <f aca="false">IF($W170="","",IF(LEFT(Setup!$B$15,1)="B",EXP(Setup!$B$14*($W170-1)),1+Setup!$B$14*($W170-1)))</f>
        <v/>
      </c>
      <c r="Y170" s="23" t="str">
        <f aca="false">IF($N170&lt;&gt;"",$N170,$X170)</f>
        <v/>
      </c>
      <c r="Z170" s="22" t="str">
        <f aca="false">IF(OR($H170="",$U170="",$V170=""),"",$H170*$U170*$V170)</f>
        <v/>
      </c>
      <c r="AA170" s="22" t="str">
        <f aca="false">IF(OR($Z170="",$Y170=""),"",$Z170*$Y170)</f>
        <v/>
      </c>
      <c r="AB170" s="1" t="str">
        <f aca="false">IF($A170="","",IF(OR($E170="",$G170="",$H170="",$I170="",AND($N170="",COUNT($J170:$L170)&lt;3)),"Missing: "&amp;IF($E170="","P ","")&amp;IF($G170="","T ","")&amp;IF($H170="","I ","")&amp;IF($I170="","C ","")&amp;IF(AND($N170="",COUNT($J170:$L170)&lt;3),"C_ctrl/C_ext/C_irr",""),IF(N($F170)&gt;$E170,"P_floor &gt; P (floor capped at P)","OK")))</f>
        <v/>
      </c>
      <c r="AC170" s="1" t="str">
        <f aca="false">IF($AA170="","",$AA170+ROW()/1000000)</f>
        <v/>
      </c>
      <c r="AD170" s="18" t="n">
        <f aca="false">IF(AND($A170&lt;&gt;"",ISNUMBER($AA170)),1,0)</f>
        <v>0</v>
      </c>
      <c r="AE170" s="18" t="n">
        <f aca="false">IF($AD170=1,$H170,0)</f>
        <v>0</v>
      </c>
      <c r="AF170" s="18" t="n">
        <f aca="false">IF($AD170=1,$E170,0)</f>
        <v>0</v>
      </c>
      <c r="AG170" s="18" t="n">
        <f aca="false">IF($AD170=1,MIN(N($F170),$E170),0)</f>
        <v>0</v>
      </c>
      <c r="AH170" s="18" t="n">
        <f aca="false">IF($AD170=1,$I170,0)</f>
        <v>0</v>
      </c>
      <c r="AI170" s="18" t="n">
        <f aca="false">IF($AD170=1,$G170,1)</f>
        <v>1</v>
      </c>
      <c r="AJ170" s="18" t="n">
        <f aca="false">IF($AD170=1,$V170,1)</f>
        <v>1</v>
      </c>
      <c r="AK170" s="18" t="n">
        <f aca="false">IF($AD170=1,$Y170,1)</f>
        <v>1</v>
      </c>
    </row>
    <row r="171" customFormat="false" ht="15" hidden="false" customHeight="false" outlineLevel="0" collapsed="false">
      <c r="A171" s="10"/>
      <c r="B171" s="10"/>
      <c r="C171" s="12"/>
      <c r="D171" s="17"/>
      <c r="E171" s="13"/>
      <c r="F171" s="21"/>
      <c r="G171" s="12"/>
      <c r="H171" s="12"/>
      <c r="I171" s="12"/>
      <c r="J171" s="12"/>
      <c r="K171" s="12"/>
      <c r="L171" s="12"/>
      <c r="M171" s="15"/>
      <c r="N171" s="15"/>
      <c r="O171" s="12"/>
      <c r="P171" s="17"/>
      <c r="Q171" s="22" t="str">
        <f aca="false">IF(OR($G171="",Setup!$B$5=""),"",Setup!$B$5/$G171)</f>
        <v/>
      </c>
      <c r="R171" s="23" t="str">
        <f aca="false">IF(OR($E171="",$Q171=""),"",1-(1-$E171)^$Q171)</f>
        <v/>
      </c>
      <c r="S171" s="22" t="str">
        <f aca="false">IF(OR($R171="",$H171=""),"",$H171*$R171)</f>
        <v/>
      </c>
      <c r="T171" s="23" t="str">
        <f aca="false">IF(OR($E171="",$I171=""),"",MIN(1,MIN(N($F171),$E171)+($E171-MIN(N($F171),$E171))*(1-$I171)))</f>
        <v/>
      </c>
      <c r="U171" s="23" t="str">
        <f aca="false">IF(OR($T171="",$Q171=""),"",1-(1-$T171)^$Q171)</f>
        <v/>
      </c>
      <c r="V171" s="23" t="str">
        <f aca="false">IF($M171&lt;&gt;"",$M171,IF($G171="","",MAX(1,(Setup!$B$6/$G171)^Setup!$B$7)))</f>
        <v/>
      </c>
      <c r="W171" s="22" t="str">
        <f aca="false">IF(COUNT($J171:$L171)&lt;3,"",Setup!$B$10*(6-$J171)+Setup!$B$11*$K171+Setup!$B$12*$L171)</f>
        <v/>
      </c>
      <c r="X171" s="23" t="str">
        <f aca="false">IF($W171="","",IF(LEFT(Setup!$B$15,1)="B",EXP(Setup!$B$14*($W171-1)),1+Setup!$B$14*($W171-1)))</f>
        <v/>
      </c>
      <c r="Y171" s="23" t="str">
        <f aca="false">IF($N171&lt;&gt;"",$N171,$X171)</f>
        <v/>
      </c>
      <c r="Z171" s="22" t="str">
        <f aca="false">IF(OR($H171="",$U171="",$V171=""),"",$H171*$U171*$V171)</f>
        <v/>
      </c>
      <c r="AA171" s="22" t="str">
        <f aca="false">IF(OR($Z171="",$Y171=""),"",$Z171*$Y171)</f>
        <v/>
      </c>
      <c r="AB171" s="1" t="str">
        <f aca="false">IF($A171="","",IF(OR($E171="",$G171="",$H171="",$I171="",AND($N171="",COUNT($J171:$L171)&lt;3)),"Missing: "&amp;IF($E171="","P ","")&amp;IF($G171="","T ","")&amp;IF($H171="","I ","")&amp;IF($I171="","C ","")&amp;IF(AND($N171="",COUNT($J171:$L171)&lt;3),"C_ctrl/C_ext/C_irr",""),IF(N($F171)&gt;$E171,"P_floor &gt; P (floor capped at P)","OK")))</f>
        <v/>
      </c>
      <c r="AC171" s="1" t="str">
        <f aca="false">IF($AA171="","",$AA171+ROW()/1000000)</f>
        <v/>
      </c>
      <c r="AD171" s="18" t="n">
        <f aca="false">IF(AND($A171&lt;&gt;"",ISNUMBER($AA171)),1,0)</f>
        <v>0</v>
      </c>
      <c r="AE171" s="18" t="n">
        <f aca="false">IF($AD171=1,$H171,0)</f>
        <v>0</v>
      </c>
      <c r="AF171" s="18" t="n">
        <f aca="false">IF($AD171=1,$E171,0)</f>
        <v>0</v>
      </c>
      <c r="AG171" s="18" t="n">
        <f aca="false">IF($AD171=1,MIN(N($F171),$E171),0)</f>
        <v>0</v>
      </c>
      <c r="AH171" s="18" t="n">
        <f aca="false">IF($AD171=1,$I171,0)</f>
        <v>0</v>
      </c>
      <c r="AI171" s="18" t="n">
        <f aca="false">IF($AD171=1,$G171,1)</f>
        <v>1</v>
      </c>
      <c r="AJ171" s="18" t="n">
        <f aca="false">IF($AD171=1,$V171,1)</f>
        <v>1</v>
      </c>
      <c r="AK171" s="18" t="n">
        <f aca="false">IF($AD171=1,$Y171,1)</f>
        <v>1</v>
      </c>
    </row>
    <row r="172" customFormat="false" ht="15" hidden="false" customHeight="false" outlineLevel="0" collapsed="false">
      <c r="A172" s="10"/>
      <c r="B172" s="10"/>
      <c r="C172" s="12"/>
      <c r="D172" s="17"/>
      <c r="E172" s="13"/>
      <c r="F172" s="21"/>
      <c r="G172" s="12"/>
      <c r="H172" s="12"/>
      <c r="I172" s="12"/>
      <c r="J172" s="12"/>
      <c r="K172" s="12"/>
      <c r="L172" s="12"/>
      <c r="M172" s="15"/>
      <c r="N172" s="15"/>
      <c r="O172" s="12"/>
      <c r="P172" s="17"/>
      <c r="Q172" s="22" t="str">
        <f aca="false">IF(OR($G172="",Setup!$B$5=""),"",Setup!$B$5/$G172)</f>
        <v/>
      </c>
      <c r="R172" s="23" t="str">
        <f aca="false">IF(OR($E172="",$Q172=""),"",1-(1-$E172)^$Q172)</f>
        <v/>
      </c>
      <c r="S172" s="22" t="str">
        <f aca="false">IF(OR($R172="",$H172=""),"",$H172*$R172)</f>
        <v/>
      </c>
      <c r="T172" s="23" t="str">
        <f aca="false">IF(OR($E172="",$I172=""),"",MIN(1,MIN(N($F172),$E172)+($E172-MIN(N($F172),$E172))*(1-$I172)))</f>
        <v/>
      </c>
      <c r="U172" s="23" t="str">
        <f aca="false">IF(OR($T172="",$Q172=""),"",1-(1-$T172)^$Q172)</f>
        <v/>
      </c>
      <c r="V172" s="23" t="str">
        <f aca="false">IF($M172&lt;&gt;"",$M172,IF($G172="","",MAX(1,(Setup!$B$6/$G172)^Setup!$B$7)))</f>
        <v/>
      </c>
      <c r="W172" s="22" t="str">
        <f aca="false">IF(COUNT($J172:$L172)&lt;3,"",Setup!$B$10*(6-$J172)+Setup!$B$11*$K172+Setup!$B$12*$L172)</f>
        <v/>
      </c>
      <c r="X172" s="23" t="str">
        <f aca="false">IF($W172="","",IF(LEFT(Setup!$B$15,1)="B",EXP(Setup!$B$14*($W172-1)),1+Setup!$B$14*($W172-1)))</f>
        <v/>
      </c>
      <c r="Y172" s="23" t="str">
        <f aca="false">IF($N172&lt;&gt;"",$N172,$X172)</f>
        <v/>
      </c>
      <c r="Z172" s="22" t="str">
        <f aca="false">IF(OR($H172="",$U172="",$V172=""),"",$H172*$U172*$V172)</f>
        <v/>
      </c>
      <c r="AA172" s="22" t="str">
        <f aca="false">IF(OR($Z172="",$Y172=""),"",$Z172*$Y172)</f>
        <v/>
      </c>
      <c r="AB172" s="1" t="str">
        <f aca="false">IF($A172="","",IF(OR($E172="",$G172="",$H172="",$I172="",AND($N172="",COUNT($J172:$L172)&lt;3)),"Missing: "&amp;IF($E172="","P ","")&amp;IF($G172="","T ","")&amp;IF($H172="","I ","")&amp;IF($I172="","C ","")&amp;IF(AND($N172="",COUNT($J172:$L172)&lt;3),"C_ctrl/C_ext/C_irr",""),IF(N($F172)&gt;$E172,"P_floor &gt; P (floor capped at P)","OK")))</f>
        <v/>
      </c>
      <c r="AC172" s="1" t="str">
        <f aca="false">IF($AA172="","",$AA172+ROW()/1000000)</f>
        <v/>
      </c>
      <c r="AD172" s="18" t="n">
        <f aca="false">IF(AND($A172&lt;&gt;"",ISNUMBER($AA172)),1,0)</f>
        <v>0</v>
      </c>
      <c r="AE172" s="18" t="n">
        <f aca="false">IF($AD172=1,$H172,0)</f>
        <v>0</v>
      </c>
      <c r="AF172" s="18" t="n">
        <f aca="false">IF($AD172=1,$E172,0)</f>
        <v>0</v>
      </c>
      <c r="AG172" s="18" t="n">
        <f aca="false">IF($AD172=1,MIN(N($F172),$E172),0)</f>
        <v>0</v>
      </c>
      <c r="AH172" s="18" t="n">
        <f aca="false">IF($AD172=1,$I172,0)</f>
        <v>0</v>
      </c>
      <c r="AI172" s="18" t="n">
        <f aca="false">IF($AD172=1,$G172,1)</f>
        <v>1</v>
      </c>
      <c r="AJ172" s="18" t="n">
        <f aca="false">IF($AD172=1,$V172,1)</f>
        <v>1</v>
      </c>
      <c r="AK172" s="18" t="n">
        <f aca="false">IF($AD172=1,$Y172,1)</f>
        <v>1</v>
      </c>
    </row>
    <row r="173" customFormat="false" ht="15" hidden="false" customHeight="false" outlineLevel="0" collapsed="false">
      <c r="A173" s="10"/>
      <c r="B173" s="10"/>
      <c r="C173" s="12"/>
      <c r="D173" s="17"/>
      <c r="E173" s="13"/>
      <c r="F173" s="21"/>
      <c r="G173" s="12"/>
      <c r="H173" s="12"/>
      <c r="I173" s="12"/>
      <c r="J173" s="12"/>
      <c r="K173" s="12"/>
      <c r="L173" s="12"/>
      <c r="M173" s="15"/>
      <c r="N173" s="15"/>
      <c r="O173" s="12"/>
      <c r="P173" s="17"/>
      <c r="Q173" s="22" t="str">
        <f aca="false">IF(OR($G173="",Setup!$B$5=""),"",Setup!$B$5/$G173)</f>
        <v/>
      </c>
      <c r="R173" s="23" t="str">
        <f aca="false">IF(OR($E173="",$Q173=""),"",1-(1-$E173)^$Q173)</f>
        <v/>
      </c>
      <c r="S173" s="22" t="str">
        <f aca="false">IF(OR($R173="",$H173=""),"",$H173*$R173)</f>
        <v/>
      </c>
      <c r="T173" s="23" t="str">
        <f aca="false">IF(OR($E173="",$I173=""),"",MIN(1,MIN(N($F173),$E173)+($E173-MIN(N($F173),$E173))*(1-$I173)))</f>
        <v/>
      </c>
      <c r="U173" s="23" t="str">
        <f aca="false">IF(OR($T173="",$Q173=""),"",1-(1-$T173)^$Q173)</f>
        <v/>
      </c>
      <c r="V173" s="23" t="str">
        <f aca="false">IF($M173&lt;&gt;"",$M173,IF($G173="","",MAX(1,(Setup!$B$6/$G173)^Setup!$B$7)))</f>
        <v/>
      </c>
      <c r="W173" s="22" t="str">
        <f aca="false">IF(COUNT($J173:$L173)&lt;3,"",Setup!$B$10*(6-$J173)+Setup!$B$11*$K173+Setup!$B$12*$L173)</f>
        <v/>
      </c>
      <c r="X173" s="23" t="str">
        <f aca="false">IF($W173="","",IF(LEFT(Setup!$B$15,1)="B",EXP(Setup!$B$14*($W173-1)),1+Setup!$B$14*($W173-1)))</f>
        <v/>
      </c>
      <c r="Y173" s="23" t="str">
        <f aca="false">IF($N173&lt;&gt;"",$N173,$X173)</f>
        <v/>
      </c>
      <c r="Z173" s="22" t="str">
        <f aca="false">IF(OR($H173="",$U173="",$V173=""),"",$H173*$U173*$V173)</f>
        <v/>
      </c>
      <c r="AA173" s="22" t="str">
        <f aca="false">IF(OR($Z173="",$Y173=""),"",$Z173*$Y173)</f>
        <v/>
      </c>
      <c r="AB173" s="1" t="str">
        <f aca="false">IF($A173="","",IF(OR($E173="",$G173="",$H173="",$I173="",AND($N173="",COUNT($J173:$L173)&lt;3)),"Missing: "&amp;IF($E173="","P ","")&amp;IF($G173="","T ","")&amp;IF($H173="","I ","")&amp;IF($I173="","C ","")&amp;IF(AND($N173="",COUNT($J173:$L173)&lt;3),"C_ctrl/C_ext/C_irr",""),IF(N($F173)&gt;$E173,"P_floor &gt; P (floor capped at P)","OK")))</f>
        <v/>
      </c>
      <c r="AC173" s="1" t="str">
        <f aca="false">IF($AA173="","",$AA173+ROW()/1000000)</f>
        <v/>
      </c>
      <c r="AD173" s="18" t="n">
        <f aca="false">IF(AND($A173&lt;&gt;"",ISNUMBER($AA173)),1,0)</f>
        <v>0</v>
      </c>
      <c r="AE173" s="18" t="n">
        <f aca="false">IF($AD173=1,$H173,0)</f>
        <v>0</v>
      </c>
      <c r="AF173" s="18" t="n">
        <f aca="false">IF($AD173=1,$E173,0)</f>
        <v>0</v>
      </c>
      <c r="AG173" s="18" t="n">
        <f aca="false">IF($AD173=1,MIN(N($F173),$E173),0)</f>
        <v>0</v>
      </c>
      <c r="AH173" s="18" t="n">
        <f aca="false">IF($AD173=1,$I173,0)</f>
        <v>0</v>
      </c>
      <c r="AI173" s="18" t="n">
        <f aca="false">IF($AD173=1,$G173,1)</f>
        <v>1</v>
      </c>
      <c r="AJ173" s="18" t="n">
        <f aca="false">IF($AD173=1,$V173,1)</f>
        <v>1</v>
      </c>
      <c r="AK173" s="18" t="n">
        <f aca="false">IF($AD173=1,$Y173,1)</f>
        <v>1</v>
      </c>
    </row>
    <row r="174" customFormat="false" ht="15" hidden="false" customHeight="false" outlineLevel="0" collapsed="false">
      <c r="A174" s="10"/>
      <c r="B174" s="10"/>
      <c r="C174" s="12"/>
      <c r="D174" s="17"/>
      <c r="E174" s="13"/>
      <c r="F174" s="21"/>
      <c r="G174" s="12"/>
      <c r="H174" s="12"/>
      <c r="I174" s="12"/>
      <c r="J174" s="12"/>
      <c r="K174" s="12"/>
      <c r="L174" s="12"/>
      <c r="M174" s="15"/>
      <c r="N174" s="15"/>
      <c r="O174" s="12"/>
      <c r="P174" s="17"/>
      <c r="Q174" s="22" t="str">
        <f aca="false">IF(OR($G174="",Setup!$B$5=""),"",Setup!$B$5/$G174)</f>
        <v/>
      </c>
      <c r="R174" s="23" t="str">
        <f aca="false">IF(OR($E174="",$Q174=""),"",1-(1-$E174)^$Q174)</f>
        <v/>
      </c>
      <c r="S174" s="22" t="str">
        <f aca="false">IF(OR($R174="",$H174=""),"",$H174*$R174)</f>
        <v/>
      </c>
      <c r="T174" s="23" t="str">
        <f aca="false">IF(OR($E174="",$I174=""),"",MIN(1,MIN(N($F174),$E174)+($E174-MIN(N($F174),$E174))*(1-$I174)))</f>
        <v/>
      </c>
      <c r="U174" s="23" t="str">
        <f aca="false">IF(OR($T174="",$Q174=""),"",1-(1-$T174)^$Q174)</f>
        <v/>
      </c>
      <c r="V174" s="23" t="str">
        <f aca="false">IF($M174&lt;&gt;"",$M174,IF($G174="","",MAX(1,(Setup!$B$6/$G174)^Setup!$B$7)))</f>
        <v/>
      </c>
      <c r="W174" s="22" t="str">
        <f aca="false">IF(COUNT($J174:$L174)&lt;3,"",Setup!$B$10*(6-$J174)+Setup!$B$11*$K174+Setup!$B$12*$L174)</f>
        <v/>
      </c>
      <c r="X174" s="23" t="str">
        <f aca="false">IF($W174="","",IF(LEFT(Setup!$B$15,1)="B",EXP(Setup!$B$14*($W174-1)),1+Setup!$B$14*($W174-1)))</f>
        <v/>
      </c>
      <c r="Y174" s="23" t="str">
        <f aca="false">IF($N174&lt;&gt;"",$N174,$X174)</f>
        <v/>
      </c>
      <c r="Z174" s="22" t="str">
        <f aca="false">IF(OR($H174="",$U174="",$V174=""),"",$H174*$U174*$V174)</f>
        <v/>
      </c>
      <c r="AA174" s="22" t="str">
        <f aca="false">IF(OR($Z174="",$Y174=""),"",$Z174*$Y174)</f>
        <v/>
      </c>
      <c r="AB174" s="1" t="str">
        <f aca="false">IF($A174="","",IF(OR($E174="",$G174="",$H174="",$I174="",AND($N174="",COUNT($J174:$L174)&lt;3)),"Missing: "&amp;IF($E174="","P ","")&amp;IF($G174="","T ","")&amp;IF($H174="","I ","")&amp;IF($I174="","C ","")&amp;IF(AND($N174="",COUNT($J174:$L174)&lt;3),"C_ctrl/C_ext/C_irr",""),IF(N($F174)&gt;$E174,"P_floor &gt; P (floor capped at P)","OK")))</f>
        <v/>
      </c>
      <c r="AC174" s="1" t="str">
        <f aca="false">IF($AA174="","",$AA174+ROW()/1000000)</f>
        <v/>
      </c>
      <c r="AD174" s="18" t="n">
        <f aca="false">IF(AND($A174&lt;&gt;"",ISNUMBER($AA174)),1,0)</f>
        <v>0</v>
      </c>
      <c r="AE174" s="18" t="n">
        <f aca="false">IF($AD174=1,$H174,0)</f>
        <v>0</v>
      </c>
      <c r="AF174" s="18" t="n">
        <f aca="false">IF($AD174=1,$E174,0)</f>
        <v>0</v>
      </c>
      <c r="AG174" s="18" t="n">
        <f aca="false">IF($AD174=1,MIN(N($F174),$E174),0)</f>
        <v>0</v>
      </c>
      <c r="AH174" s="18" t="n">
        <f aca="false">IF($AD174=1,$I174,0)</f>
        <v>0</v>
      </c>
      <c r="AI174" s="18" t="n">
        <f aca="false">IF($AD174=1,$G174,1)</f>
        <v>1</v>
      </c>
      <c r="AJ174" s="18" t="n">
        <f aca="false">IF($AD174=1,$V174,1)</f>
        <v>1</v>
      </c>
      <c r="AK174" s="18" t="n">
        <f aca="false">IF($AD174=1,$Y174,1)</f>
        <v>1</v>
      </c>
    </row>
    <row r="175" customFormat="false" ht="15" hidden="false" customHeight="false" outlineLevel="0" collapsed="false">
      <c r="A175" s="10"/>
      <c r="B175" s="10"/>
      <c r="C175" s="12"/>
      <c r="D175" s="17"/>
      <c r="E175" s="13"/>
      <c r="F175" s="21"/>
      <c r="G175" s="12"/>
      <c r="H175" s="12"/>
      <c r="I175" s="12"/>
      <c r="J175" s="12"/>
      <c r="K175" s="12"/>
      <c r="L175" s="12"/>
      <c r="M175" s="15"/>
      <c r="N175" s="15"/>
      <c r="O175" s="12"/>
      <c r="P175" s="17"/>
      <c r="Q175" s="22" t="str">
        <f aca="false">IF(OR($G175="",Setup!$B$5=""),"",Setup!$B$5/$G175)</f>
        <v/>
      </c>
      <c r="R175" s="23" t="str">
        <f aca="false">IF(OR($E175="",$Q175=""),"",1-(1-$E175)^$Q175)</f>
        <v/>
      </c>
      <c r="S175" s="22" t="str">
        <f aca="false">IF(OR($R175="",$H175=""),"",$H175*$R175)</f>
        <v/>
      </c>
      <c r="T175" s="23" t="str">
        <f aca="false">IF(OR($E175="",$I175=""),"",MIN(1,MIN(N($F175),$E175)+($E175-MIN(N($F175),$E175))*(1-$I175)))</f>
        <v/>
      </c>
      <c r="U175" s="23" t="str">
        <f aca="false">IF(OR($T175="",$Q175=""),"",1-(1-$T175)^$Q175)</f>
        <v/>
      </c>
      <c r="V175" s="23" t="str">
        <f aca="false">IF($M175&lt;&gt;"",$M175,IF($G175="","",MAX(1,(Setup!$B$6/$G175)^Setup!$B$7)))</f>
        <v/>
      </c>
      <c r="W175" s="22" t="str">
        <f aca="false">IF(COUNT($J175:$L175)&lt;3,"",Setup!$B$10*(6-$J175)+Setup!$B$11*$K175+Setup!$B$12*$L175)</f>
        <v/>
      </c>
      <c r="X175" s="23" t="str">
        <f aca="false">IF($W175="","",IF(LEFT(Setup!$B$15,1)="B",EXP(Setup!$B$14*($W175-1)),1+Setup!$B$14*($W175-1)))</f>
        <v/>
      </c>
      <c r="Y175" s="23" t="str">
        <f aca="false">IF($N175&lt;&gt;"",$N175,$X175)</f>
        <v/>
      </c>
      <c r="Z175" s="22" t="str">
        <f aca="false">IF(OR($H175="",$U175="",$V175=""),"",$H175*$U175*$V175)</f>
        <v/>
      </c>
      <c r="AA175" s="22" t="str">
        <f aca="false">IF(OR($Z175="",$Y175=""),"",$Z175*$Y175)</f>
        <v/>
      </c>
      <c r="AB175" s="1" t="str">
        <f aca="false">IF($A175="","",IF(OR($E175="",$G175="",$H175="",$I175="",AND($N175="",COUNT($J175:$L175)&lt;3)),"Missing: "&amp;IF($E175="","P ","")&amp;IF($G175="","T ","")&amp;IF($H175="","I ","")&amp;IF($I175="","C ","")&amp;IF(AND($N175="",COUNT($J175:$L175)&lt;3),"C_ctrl/C_ext/C_irr",""),IF(N($F175)&gt;$E175,"P_floor &gt; P (floor capped at P)","OK")))</f>
        <v/>
      </c>
      <c r="AC175" s="1" t="str">
        <f aca="false">IF($AA175="","",$AA175+ROW()/1000000)</f>
        <v/>
      </c>
      <c r="AD175" s="18" t="n">
        <f aca="false">IF(AND($A175&lt;&gt;"",ISNUMBER($AA175)),1,0)</f>
        <v>0</v>
      </c>
      <c r="AE175" s="18" t="n">
        <f aca="false">IF($AD175=1,$H175,0)</f>
        <v>0</v>
      </c>
      <c r="AF175" s="18" t="n">
        <f aca="false">IF($AD175=1,$E175,0)</f>
        <v>0</v>
      </c>
      <c r="AG175" s="18" t="n">
        <f aca="false">IF($AD175=1,MIN(N($F175),$E175),0)</f>
        <v>0</v>
      </c>
      <c r="AH175" s="18" t="n">
        <f aca="false">IF($AD175=1,$I175,0)</f>
        <v>0</v>
      </c>
      <c r="AI175" s="18" t="n">
        <f aca="false">IF($AD175=1,$G175,1)</f>
        <v>1</v>
      </c>
      <c r="AJ175" s="18" t="n">
        <f aca="false">IF($AD175=1,$V175,1)</f>
        <v>1</v>
      </c>
      <c r="AK175" s="18" t="n">
        <f aca="false">IF($AD175=1,$Y175,1)</f>
        <v>1</v>
      </c>
    </row>
    <row r="176" customFormat="false" ht="15" hidden="false" customHeight="false" outlineLevel="0" collapsed="false">
      <c r="A176" s="10"/>
      <c r="B176" s="10"/>
      <c r="C176" s="12"/>
      <c r="D176" s="17"/>
      <c r="E176" s="13"/>
      <c r="F176" s="21"/>
      <c r="G176" s="12"/>
      <c r="H176" s="12"/>
      <c r="I176" s="12"/>
      <c r="J176" s="12"/>
      <c r="K176" s="12"/>
      <c r="L176" s="12"/>
      <c r="M176" s="15"/>
      <c r="N176" s="15"/>
      <c r="O176" s="12"/>
      <c r="P176" s="17"/>
      <c r="Q176" s="22" t="str">
        <f aca="false">IF(OR($G176="",Setup!$B$5=""),"",Setup!$B$5/$G176)</f>
        <v/>
      </c>
      <c r="R176" s="23" t="str">
        <f aca="false">IF(OR($E176="",$Q176=""),"",1-(1-$E176)^$Q176)</f>
        <v/>
      </c>
      <c r="S176" s="22" t="str">
        <f aca="false">IF(OR($R176="",$H176=""),"",$H176*$R176)</f>
        <v/>
      </c>
      <c r="T176" s="23" t="str">
        <f aca="false">IF(OR($E176="",$I176=""),"",MIN(1,MIN(N($F176),$E176)+($E176-MIN(N($F176),$E176))*(1-$I176)))</f>
        <v/>
      </c>
      <c r="U176" s="23" t="str">
        <f aca="false">IF(OR($T176="",$Q176=""),"",1-(1-$T176)^$Q176)</f>
        <v/>
      </c>
      <c r="V176" s="23" t="str">
        <f aca="false">IF($M176&lt;&gt;"",$M176,IF($G176="","",MAX(1,(Setup!$B$6/$G176)^Setup!$B$7)))</f>
        <v/>
      </c>
      <c r="W176" s="22" t="str">
        <f aca="false">IF(COUNT($J176:$L176)&lt;3,"",Setup!$B$10*(6-$J176)+Setup!$B$11*$K176+Setup!$B$12*$L176)</f>
        <v/>
      </c>
      <c r="X176" s="23" t="str">
        <f aca="false">IF($W176="","",IF(LEFT(Setup!$B$15,1)="B",EXP(Setup!$B$14*($W176-1)),1+Setup!$B$14*($W176-1)))</f>
        <v/>
      </c>
      <c r="Y176" s="23" t="str">
        <f aca="false">IF($N176&lt;&gt;"",$N176,$X176)</f>
        <v/>
      </c>
      <c r="Z176" s="22" t="str">
        <f aca="false">IF(OR($H176="",$U176="",$V176=""),"",$H176*$U176*$V176)</f>
        <v/>
      </c>
      <c r="AA176" s="22" t="str">
        <f aca="false">IF(OR($Z176="",$Y176=""),"",$Z176*$Y176)</f>
        <v/>
      </c>
      <c r="AB176" s="1" t="str">
        <f aca="false">IF($A176="","",IF(OR($E176="",$G176="",$H176="",$I176="",AND($N176="",COUNT($J176:$L176)&lt;3)),"Missing: "&amp;IF($E176="","P ","")&amp;IF($G176="","T ","")&amp;IF($H176="","I ","")&amp;IF($I176="","C ","")&amp;IF(AND($N176="",COUNT($J176:$L176)&lt;3),"C_ctrl/C_ext/C_irr",""),IF(N($F176)&gt;$E176,"P_floor &gt; P (floor capped at P)","OK")))</f>
        <v/>
      </c>
      <c r="AC176" s="1" t="str">
        <f aca="false">IF($AA176="","",$AA176+ROW()/1000000)</f>
        <v/>
      </c>
      <c r="AD176" s="18" t="n">
        <f aca="false">IF(AND($A176&lt;&gt;"",ISNUMBER($AA176)),1,0)</f>
        <v>0</v>
      </c>
      <c r="AE176" s="18" t="n">
        <f aca="false">IF($AD176=1,$H176,0)</f>
        <v>0</v>
      </c>
      <c r="AF176" s="18" t="n">
        <f aca="false">IF($AD176=1,$E176,0)</f>
        <v>0</v>
      </c>
      <c r="AG176" s="18" t="n">
        <f aca="false">IF($AD176=1,MIN(N($F176),$E176),0)</f>
        <v>0</v>
      </c>
      <c r="AH176" s="18" t="n">
        <f aca="false">IF($AD176=1,$I176,0)</f>
        <v>0</v>
      </c>
      <c r="AI176" s="18" t="n">
        <f aca="false">IF($AD176=1,$G176,1)</f>
        <v>1</v>
      </c>
      <c r="AJ176" s="18" t="n">
        <f aca="false">IF($AD176=1,$V176,1)</f>
        <v>1</v>
      </c>
      <c r="AK176" s="18" t="n">
        <f aca="false">IF($AD176=1,$Y176,1)</f>
        <v>1</v>
      </c>
    </row>
    <row r="177" customFormat="false" ht="15" hidden="false" customHeight="false" outlineLevel="0" collapsed="false">
      <c r="A177" s="10"/>
      <c r="B177" s="10"/>
      <c r="C177" s="12"/>
      <c r="D177" s="17"/>
      <c r="E177" s="13"/>
      <c r="F177" s="21"/>
      <c r="G177" s="12"/>
      <c r="H177" s="12"/>
      <c r="I177" s="12"/>
      <c r="J177" s="12"/>
      <c r="K177" s="12"/>
      <c r="L177" s="12"/>
      <c r="M177" s="15"/>
      <c r="N177" s="15"/>
      <c r="O177" s="12"/>
      <c r="P177" s="17"/>
      <c r="Q177" s="22" t="str">
        <f aca="false">IF(OR($G177="",Setup!$B$5=""),"",Setup!$B$5/$G177)</f>
        <v/>
      </c>
      <c r="R177" s="23" t="str">
        <f aca="false">IF(OR($E177="",$Q177=""),"",1-(1-$E177)^$Q177)</f>
        <v/>
      </c>
      <c r="S177" s="22" t="str">
        <f aca="false">IF(OR($R177="",$H177=""),"",$H177*$R177)</f>
        <v/>
      </c>
      <c r="T177" s="23" t="str">
        <f aca="false">IF(OR($E177="",$I177=""),"",MIN(1,MIN(N($F177),$E177)+($E177-MIN(N($F177),$E177))*(1-$I177)))</f>
        <v/>
      </c>
      <c r="U177" s="23" t="str">
        <f aca="false">IF(OR($T177="",$Q177=""),"",1-(1-$T177)^$Q177)</f>
        <v/>
      </c>
      <c r="V177" s="23" t="str">
        <f aca="false">IF($M177&lt;&gt;"",$M177,IF($G177="","",MAX(1,(Setup!$B$6/$G177)^Setup!$B$7)))</f>
        <v/>
      </c>
      <c r="W177" s="22" t="str">
        <f aca="false">IF(COUNT($J177:$L177)&lt;3,"",Setup!$B$10*(6-$J177)+Setup!$B$11*$K177+Setup!$B$12*$L177)</f>
        <v/>
      </c>
      <c r="X177" s="23" t="str">
        <f aca="false">IF($W177="","",IF(LEFT(Setup!$B$15,1)="B",EXP(Setup!$B$14*($W177-1)),1+Setup!$B$14*($W177-1)))</f>
        <v/>
      </c>
      <c r="Y177" s="23" t="str">
        <f aca="false">IF($N177&lt;&gt;"",$N177,$X177)</f>
        <v/>
      </c>
      <c r="Z177" s="22" t="str">
        <f aca="false">IF(OR($H177="",$U177="",$V177=""),"",$H177*$U177*$V177)</f>
        <v/>
      </c>
      <c r="AA177" s="22" t="str">
        <f aca="false">IF(OR($Z177="",$Y177=""),"",$Z177*$Y177)</f>
        <v/>
      </c>
      <c r="AB177" s="1" t="str">
        <f aca="false">IF($A177="","",IF(OR($E177="",$G177="",$H177="",$I177="",AND($N177="",COUNT($J177:$L177)&lt;3)),"Missing: "&amp;IF($E177="","P ","")&amp;IF($G177="","T ","")&amp;IF($H177="","I ","")&amp;IF($I177="","C ","")&amp;IF(AND($N177="",COUNT($J177:$L177)&lt;3),"C_ctrl/C_ext/C_irr",""),IF(N($F177)&gt;$E177,"P_floor &gt; P (floor capped at P)","OK")))</f>
        <v/>
      </c>
      <c r="AC177" s="1" t="str">
        <f aca="false">IF($AA177="","",$AA177+ROW()/1000000)</f>
        <v/>
      </c>
      <c r="AD177" s="18" t="n">
        <f aca="false">IF(AND($A177&lt;&gt;"",ISNUMBER($AA177)),1,0)</f>
        <v>0</v>
      </c>
      <c r="AE177" s="18" t="n">
        <f aca="false">IF($AD177=1,$H177,0)</f>
        <v>0</v>
      </c>
      <c r="AF177" s="18" t="n">
        <f aca="false">IF($AD177=1,$E177,0)</f>
        <v>0</v>
      </c>
      <c r="AG177" s="18" t="n">
        <f aca="false">IF($AD177=1,MIN(N($F177),$E177),0)</f>
        <v>0</v>
      </c>
      <c r="AH177" s="18" t="n">
        <f aca="false">IF($AD177=1,$I177,0)</f>
        <v>0</v>
      </c>
      <c r="AI177" s="18" t="n">
        <f aca="false">IF($AD177=1,$G177,1)</f>
        <v>1</v>
      </c>
      <c r="AJ177" s="18" t="n">
        <f aca="false">IF($AD177=1,$V177,1)</f>
        <v>1</v>
      </c>
      <c r="AK177" s="18" t="n">
        <f aca="false">IF($AD177=1,$Y177,1)</f>
        <v>1</v>
      </c>
    </row>
    <row r="178" customFormat="false" ht="15" hidden="false" customHeight="false" outlineLevel="0" collapsed="false">
      <c r="A178" s="10"/>
      <c r="B178" s="10"/>
      <c r="C178" s="12"/>
      <c r="D178" s="17"/>
      <c r="E178" s="13"/>
      <c r="F178" s="21"/>
      <c r="G178" s="12"/>
      <c r="H178" s="12"/>
      <c r="I178" s="12"/>
      <c r="J178" s="12"/>
      <c r="K178" s="12"/>
      <c r="L178" s="12"/>
      <c r="M178" s="15"/>
      <c r="N178" s="15"/>
      <c r="O178" s="12"/>
      <c r="P178" s="17"/>
      <c r="Q178" s="22" t="str">
        <f aca="false">IF(OR($G178="",Setup!$B$5=""),"",Setup!$B$5/$G178)</f>
        <v/>
      </c>
      <c r="R178" s="23" t="str">
        <f aca="false">IF(OR($E178="",$Q178=""),"",1-(1-$E178)^$Q178)</f>
        <v/>
      </c>
      <c r="S178" s="22" t="str">
        <f aca="false">IF(OR($R178="",$H178=""),"",$H178*$R178)</f>
        <v/>
      </c>
      <c r="T178" s="23" t="str">
        <f aca="false">IF(OR($E178="",$I178=""),"",MIN(1,MIN(N($F178),$E178)+($E178-MIN(N($F178),$E178))*(1-$I178)))</f>
        <v/>
      </c>
      <c r="U178" s="23" t="str">
        <f aca="false">IF(OR($T178="",$Q178=""),"",1-(1-$T178)^$Q178)</f>
        <v/>
      </c>
      <c r="V178" s="23" t="str">
        <f aca="false">IF($M178&lt;&gt;"",$M178,IF($G178="","",MAX(1,(Setup!$B$6/$G178)^Setup!$B$7)))</f>
        <v/>
      </c>
      <c r="W178" s="22" t="str">
        <f aca="false">IF(COUNT($J178:$L178)&lt;3,"",Setup!$B$10*(6-$J178)+Setup!$B$11*$K178+Setup!$B$12*$L178)</f>
        <v/>
      </c>
      <c r="X178" s="23" t="str">
        <f aca="false">IF($W178="","",IF(LEFT(Setup!$B$15,1)="B",EXP(Setup!$B$14*($W178-1)),1+Setup!$B$14*($W178-1)))</f>
        <v/>
      </c>
      <c r="Y178" s="23" t="str">
        <f aca="false">IF($N178&lt;&gt;"",$N178,$X178)</f>
        <v/>
      </c>
      <c r="Z178" s="22" t="str">
        <f aca="false">IF(OR($H178="",$U178="",$V178=""),"",$H178*$U178*$V178)</f>
        <v/>
      </c>
      <c r="AA178" s="22" t="str">
        <f aca="false">IF(OR($Z178="",$Y178=""),"",$Z178*$Y178)</f>
        <v/>
      </c>
      <c r="AB178" s="1" t="str">
        <f aca="false">IF($A178="","",IF(OR($E178="",$G178="",$H178="",$I178="",AND($N178="",COUNT($J178:$L178)&lt;3)),"Missing: "&amp;IF($E178="","P ","")&amp;IF($G178="","T ","")&amp;IF($H178="","I ","")&amp;IF($I178="","C ","")&amp;IF(AND($N178="",COUNT($J178:$L178)&lt;3),"C_ctrl/C_ext/C_irr",""),IF(N($F178)&gt;$E178,"P_floor &gt; P (floor capped at P)","OK")))</f>
        <v/>
      </c>
      <c r="AC178" s="1" t="str">
        <f aca="false">IF($AA178="","",$AA178+ROW()/1000000)</f>
        <v/>
      </c>
      <c r="AD178" s="18" t="n">
        <f aca="false">IF(AND($A178&lt;&gt;"",ISNUMBER($AA178)),1,0)</f>
        <v>0</v>
      </c>
      <c r="AE178" s="18" t="n">
        <f aca="false">IF($AD178=1,$H178,0)</f>
        <v>0</v>
      </c>
      <c r="AF178" s="18" t="n">
        <f aca="false">IF($AD178=1,$E178,0)</f>
        <v>0</v>
      </c>
      <c r="AG178" s="18" t="n">
        <f aca="false">IF($AD178=1,MIN(N($F178),$E178),0)</f>
        <v>0</v>
      </c>
      <c r="AH178" s="18" t="n">
        <f aca="false">IF($AD178=1,$I178,0)</f>
        <v>0</v>
      </c>
      <c r="AI178" s="18" t="n">
        <f aca="false">IF($AD178=1,$G178,1)</f>
        <v>1</v>
      </c>
      <c r="AJ178" s="18" t="n">
        <f aca="false">IF($AD178=1,$V178,1)</f>
        <v>1</v>
      </c>
      <c r="AK178" s="18" t="n">
        <f aca="false">IF($AD178=1,$Y178,1)</f>
        <v>1</v>
      </c>
    </row>
    <row r="179" customFormat="false" ht="15" hidden="false" customHeight="false" outlineLevel="0" collapsed="false">
      <c r="A179" s="10"/>
      <c r="B179" s="10"/>
      <c r="C179" s="12"/>
      <c r="D179" s="17"/>
      <c r="E179" s="13"/>
      <c r="F179" s="21"/>
      <c r="G179" s="12"/>
      <c r="H179" s="12"/>
      <c r="I179" s="12"/>
      <c r="J179" s="12"/>
      <c r="K179" s="12"/>
      <c r="L179" s="12"/>
      <c r="M179" s="15"/>
      <c r="N179" s="15"/>
      <c r="O179" s="12"/>
      <c r="P179" s="17"/>
      <c r="Q179" s="22" t="str">
        <f aca="false">IF(OR($G179="",Setup!$B$5=""),"",Setup!$B$5/$G179)</f>
        <v/>
      </c>
      <c r="R179" s="23" t="str">
        <f aca="false">IF(OR($E179="",$Q179=""),"",1-(1-$E179)^$Q179)</f>
        <v/>
      </c>
      <c r="S179" s="22" t="str">
        <f aca="false">IF(OR($R179="",$H179=""),"",$H179*$R179)</f>
        <v/>
      </c>
      <c r="T179" s="23" t="str">
        <f aca="false">IF(OR($E179="",$I179=""),"",MIN(1,MIN(N($F179),$E179)+($E179-MIN(N($F179),$E179))*(1-$I179)))</f>
        <v/>
      </c>
      <c r="U179" s="23" t="str">
        <f aca="false">IF(OR($T179="",$Q179=""),"",1-(1-$T179)^$Q179)</f>
        <v/>
      </c>
      <c r="V179" s="23" t="str">
        <f aca="false">IF($M179&lt;&gt;"",$M179,IF($G179="","",MAX(1,(Setup!$B$6/$G179)^Setup!$B$7)))</f>
        <v/>
      </c>
      <c r="W179" s="22" t="str">
        <f aca="false">IF(COUNT($J179:$L179)&lt;3,"",Setup!$B$10*(6-$J179)+Setup!$B$11*$K179+Setup!$B$12*$L179)</f>
        <v/>
      </c>
      <c r="X179" s="23" t="str">
        <f aca="false">IF($W179="","",IF(LEFT(Setup!$B$15,1)="B",EXP(Setup!$B$14*($W179-1)),1+Setup!$B$14*($W179-1)))</f>
        <v/>
      </c>
      <c r="Y179" s="23" t="str">
        <f aca="false">IF($N179&lt;&gt;"",$N179,$X179)</f>
        <v/>
      </c>
      <c r="Z179" s="22" t="str">
        <f aca="false">IF(OR($H179="",$U179="",$V179=""),"",$H179*$U179*$V179)</f>
        <v/>
      </c>
      <c r="AA179" s="22" t="str">
        <f aca="false">IF(OR($Z179="",$Y179=""),"",$Z179*$Y179)</f>
        <v/>
      </c>
      <c r="AB179" s="1" t="str">
        <f aca="false">IF($A179="","",IF(OR($E179="",$G179="",$H179="",$I179="",AND($N179="",COUNT($J179:$L179)&lt;3)),"Missing: "&amp;IF($E179="","P ","")&amp;IF($G179="","T ","")&amp;IF($H179="","I ","")&amp;IF($I179="","C ","")&amp;IF(AND($N179="",COUNT($J179:$L179)&lt;3),"C_ctrl/C_ext/C_irr",""),IF(N($F179)&gt;$E179,"P_floor &gt; P (floor capped at P)","OK")))</f>
        <v/>
      </c>
      <c r="AC179" s="1" t="str">
        <f aca="false">IF($AA179="","",$AA179+ROW()/1000000)</f>
        <v/>
      </c>
      <c r="AD179" s="18" t="n">
        <f aca="false">IF(AND($A179&lt;&gt;"",ISNUMBER($AA179)),1,0)</f>
        <v>0</v>
      </c>
      <c r="AE179" s="18" t="n">
        <f aca="false">IF($AD179=1,$H179,0)</f>
        <v>0</v>
      </c>
      <c r="AF179" s="18" t="n">
        <f aca="false">IF($AD179=1,$E179,0)</f>
        <v>0</v>
      </c>
      <c r="AG179" s="18" t="n">
        <f aca="false">IF($AD179=1,MIN(N($F179),$E179),0)</f>
        <v>0</v>
      </c>
      <c r="AH179" s="18" t="n">
        <f aca="false">IF($AD179=1,$I179,0)</f>
        <v>0</v>
      </c>
      <c r="AI179" s="18" t="n">
        <f aca="false">IF($AD179=1,$G179,1)</f>
        <v>1</v>
      </c>
      <c r="AJ179" s="18" t="n">
        <f aca="false">IF($AD179=1,$V179,1)</f>
        <v>1</v>
      </c>
      <c r="AK179" s="18" t="n">
        <f aca="false">IF($AD179=1,$Y179,1)</f>
        <v>1</v>
      </c>
    </row>
    <row r="180" customFormat="false" ht="15" hidden="false" customHeight="false" outlineLevel="0" collapsed="false">
      <c r="A180" s="10"/>
      <c r="B180" s="10"/>
      <c r="C180" s="12"/>
      <c r="D180" s="17"/>
      <c r="E180" s="13"/>
      <c r="F180" s="21"/>
      <c r="G180" s="12"/>
      <c r="H180" s="12"/>
      <c r="I180" s="12"/>
      <c r="J180" s="12"/>
      <c r="K180" s="12"/>
      <c r="L180" s="12"/>
      <c r="M180" s="15"/>
      <c r="N180" s="15"/>
      <c r="O180" s="12"/>
      <c r="P180" s="17"/>
      <c r="Q180" s="22" t="str">
        <f aca="false">IF(OR($G180="",Setup!$B$5=""),"",Setup!$B$5/$G180)</f>
        <v/>
      </c>
      <c r="R180" s="23" t="str">
        <f aca="false">IF(OR($E180="",$Q180=""),"",1-(1-$E180)^$Q180)</f>
        <v/>
      </c>
      <c r="S180" s="22" t="str">
        <f aca="false">IF(OR($R180="",$H180=""),"",$H180*$R180)</f>
        <v/>
      </c>
      <c r="T180" s="23" t="str">
        <f aca="false">IF(OR($E180="",$I180=""),"",MIN(1,MIN(N($F180),$E180)+($E180-MIN(N($F180),$E180))*(1-$I180)))</f>
        <v/>
      </c>
      <c r="U180" s="23" t="str">
        <f aca="false">IF(OR($T180="",$Q180=""),"",1-(1-$T180)^$Q180)</f>
        <v/>
      </c>
      <c r="V180" s="23" t="str">
        <f aca="false">IF($M180&lt;&gt;"",$M180,IF($G180="","",MAX(1,(Setup!$B$6/$G180)^Setup!$B$7)))</f>
        <v/>
      </c>
      <c r="W180" s="22" t="str">
        <f aca="false">IF(COUNT($J180:$L180)&lt;3,"",Setup!$B$10*(6-$J180)+Setup!$B$11*$K180+Setup!$B$12*$L180)</f>
        <v/>
      </c>
      <c r="X180" s="23" t="str">
        <f aca="false">IF($W180="","",IF(LEFT(Setup!$B$15,1)="B",EXP(Setup!$B$14*($W180-1)),1+Setup!$B$14*($W180-1)))</f>
        <v/>
      </c>
      <c r="Y180" s="23" t="str">
        <f aca="false">IF($N180&lt;&gt;"",$N180,$X180)</f>
        <v/>
      </c>
      <c r="Z180" s="22" t="str">
        <f aca="false">IF(OR($H180="",$U180="",$V180=""),"",$H180*$U180*$V180)</f>
        <v/>
      </c>
      <c r="AA180" s="22" t="str">
        <f aca="false">IF(OR($Z180="",$Y180=""),"",$Z180*$Y180)</f>
        <v/>
      </c>
      <c r="AB180" s="1" t="str">
        <f aca="false">IF($A180="","",IF(OR($E180="",$G180="",$H180="",$I180="",AND($N180="",COUNT($J180:$L180)&lt;3)),"Missing: "&amp;IF($E180="","P ","")&amp;IF($G180="","T ","")&amp;IF($H180="","I ","")&amp;IF($I180="","C ","")&amp;IF(AND($N180="",COUNT($J180:$L180)&lt;3),"C_ctrl/C_ext/C_irr",""),IF(N($F180)&gt;$E180,"P_floor &gt; P (floor capped at P)","OK")))</f>
        <v/>
      </c>
      <c r="AC180" s="1" t="str">
        <f aca="false">IF($AA180="","",$AA180+ROW()/1000000)</f>
        <v/>
      </c>
      <c r="AD180" s="18" t="n">
        <f aca="false">IF(AND($A180&lt;&gt;"",ISNUMBER($AA180)),1,0)</f>
        <v>0</v>
      </c>
      <c r="AE180" s="18" t="n">
        <f aca="false">IF($AD180=1,$H180,0)</f>
        <v>0</v>
      </c>
      <c r="AF180" s="18" t="n">
        <f aca="false">IF($AD180=1,$E180,0)</f>
        <v>0</v>
      </c>
      <c r="AG180" s="18" t="n">
        <f aca="false">IF($AD180=1,MIN(N($F180),$E180),0)</f>
        <v>0</v>
      </c>
      <c r="AH180" s="18" t="n">
        <f aca="false">IF($AD180=1,$I180,0)</f>
        <v>0</v>
      </c>
      <c r="AI180" s="18" t="n">
        <f aca="false">IF($AD180=1,$G180,1)</f>
        <v>1</v>
      </c>
      <c r="AJ180" s="18" t="n">
        <f aca="false">IF($AD180=1,$V180,1)</f>
        <v>1</v>
      </c>
      <c r="AK180" s="18" t="n">
        <f aca="false">IF($AD180=1,$Y180,1)</f>
        <v>1</v>
      </c>
    </row>
    <row r="181" customFormat="false" ht="15" hidden="false" customHeight="false" outlineLevel="0" collapsed="false">
      <c r="A181" s="10"/>
      <c r="B181" s="10"/>
      <c r="C181" s="12"/>
      <c r="D181" s="17"/>
      <c r="E181" s="13"/>
      <c r="F181" s="21"/>
      <c r="G181" s="12"/>
      <c r="H181" s="12"/>
      <c r="I181" s="12"/>
      <c r="J181" s="12"/>
      <c r="K181" s="12"/>
      <c r="L181" s="12"/>
      <c r="M181" s="15"/>
      <c r="N181" s="15"/>
      <c r="O181" s="12"/>
      <c r="P181" s="17"/>
      <c r="Q181" s="22" t="str">
        <f aca="false">IF(OR($G181="",Setup!$B$5=""),"",Setup!$B$5/$G181)</f>
        <v/>
      </c>
      <c r="R181" s="23" t="str">
        <f aca="false">IF(OR($E181="",$Q181=""),"",1-(1-$E181)^$Q181)</f>
        <v/>
      </c>
      <c r="S181" s="22" t="str">
        <f aca="false">IF(OR($R181="",$H181=""),"",$H181*$R181)</f>
        <v/>
      </c>
      <c r="T181" s="23" t="str">
        <f aca="false">IF(OR($E181="",$I181=""),"",MIN(1,MIN(N($F181),$E181)+($E181-MIN(N($F181),$E181))*(1-$I181)))</f>
        <v/>
      </c>
      <c r="U181" s="23" t="str">
        <f aca="false">IF(OR($T181="",$Q181=""),"",1-(1-$T181)^$Q181)</f>
        <v/>
      </c>
      <c r="V181" s="23" t="str">
        <f aca="false">IF($M181&lt;&gt;"",$M181,IF($G181="","",MAX(1,(Setup!$B$6/$G181)^Setup!$B$7)))</f>
        <v/>
      </c>
      <c r="W181" s="22" t="str">
        <f aca="false">IF(COUNT($J181:$L181)&lt;3,"",Setup!$B$10*(6-$J181)+Setup!$B$11*$K181+Setup!$B$12*$L181)</f>
        <v/>
      </c>
      <c r="X181" s="23" t="str">
        <f aca="false">IF($W181="","",IF(LEFT(Setup!$B$15,1)="B",EXP(Setup!$B$14*($W181-1)),1+Setup!$B$14*($W181-1)))</f>
        <v/>
      </c>
      <c r="Y181" s="23" t="str">
        <f aca="false">IF($N181&lt;&gt;"",$N181,$X181)</f>
        <v/>
      </c>
      <c r="Z181" s="22" t="str">
        <f aca="false">IF(OR($H181="",$U181="",$V181=""),"",$H181*$U181*$V181)</f>
        <v/>
      </c>
      <c r="AA181" s="22" t="str">
        <f aca="false">IF(OR($Z181="",$Y181=""),"",$Z181*$Y181)</f>
        <v/>
      </c>
      <c r="AB181" s="1" t="str">
        <f aca="false">IF($A181="","",IF(OR($E181="",$G181="",$H181="",$I181="",AND($N181="",COUNT($J181:$L181)&lt;3)),"Missing: "&amp;IF($E181="","P ","")&amp;IF($G181="","T ","")&amp;IF($H181="","I ","")&amp;IF($I181="","C ","")&amp;IF(AND($N181="",COUNT($J181:$L181)&lt;3),"C_ctrl/C_ext/C_irr",""),IF(N($F181)&gt;$E181,"P_floor &gt; P (floor capped at P)","OK")))</f>
        <v/>
      </c>
      <c r="AC181" s="1" t="str">
        <f aca="false">IF($AA181="","",$AA181+ROW()/1000000)</f>
        <v/>
      </c>
      <c r="AD181" s="18" t="n">
        <f aca="false">IF(AND($A181&lt;&gt;"",ISNUMBER($AA181)),1,0)</f>
        <v>0</v>
      </c>
      <c r="AE181" s="18" t="n">
        <f aca="false">IF($AD181=1,$H181,0)</f>
        <v>0</v>
      </c>
      <c r="AF181" s="18" t="n">
        <f aca="false">IF($AD181=1,$E181,0)</f>
        <v>0</v>
      </c>
      <c r="AG181" s="18" t="n">
        <f aca="false">IF($AD181=1,MIN(N($F181),$E181),0)</f>
        <v>0</v>
      </c>
      <c r="AH181" s="18" t="n">
        <f aca="false">IF($AD181=1,$I181,0)</f>
        <v>0</v>
      </c>
      <c r="AI181" s="18" t="n">
        <f aca="false">IF($AD181=1,$G181,1)</f>
        <v>1</v>
      </c>
      <c r="AJ181" s="18" t="n">
        <f aca="false">IF($AD181=1,$V181,1)</f>
        <v>1</v>
      </c>
      <c r="AK181" s="18" t="n">
        <f aca="false">IF($AD181=1,$Y181,1)</f>
        <v>1</v>
      </c>
    </row>
    <row r="182" customFormat="false" ht="15" hidden="false" customHeight="false" outlineLevel="0" collapsed="false">
      <c r="A182" s="10"/>
      <c r="B182" s="10"/>
      <c r="C182" s="12"/>
      <c r="D182" s="17"/>
      <c r="E182" s="13"/>
      <c r="F182" s="21"/>
      <c r="G182" s="12"/>
      <c r="H182" s="12"/>
      <c r="I182" s="12"/>
      <c r="J182" s="12"/>
      <c r="K182" s="12"/>
      <c r="L182" s="12"/>
      <c r="M182" s="15"/>
      <c r="N182" s="15"/>
      <c r="O182" s="12"/>
      <c r="P182" s="17"/>
      <c r="Q182" s="22" t="str">
        <f aca="false">IF(OR($G182="",Setup!$B$5=""),"",Setup!$B$5/$G182)</f>
        <v/>
      </c>
      <c r="R182" s="23" t="str">
        <f aca="false">IF(OR($E182="",$Q182=""),"",1-(1-$E182)^$Q182)</f>
        <v/>
      </c>
      <c r="S182" s="22" t="str">
        <f aca="false">IF(OR($R182="",$H182=""),"",$H182*$R182)</f>
        <v/>
      </c>
      <c r="T182" s="23" t="str">
        <f aca="false">IF(OR($E182="",$I182=""),"",MIN(1,MIN(N($F182),$E182)+($E182-MIN(N($F182),$E182))*(1-$I182)))</f>
        <v/>
      </c>
      <c r="U182" s="23" t="str">
        <f aca="false">IF(OR($T182="",$Q182=""),"",1-(1-$T182)^$Q182)</f>
        <v/>
      </c>
      <c r="V182" s="23" t="str">
        <f aca="false">IF($M182&lt;&gt;"",$M182,IF($G182="","",MAX(1,(Setup!$B$6/$G182)^Setup!$B$7)))</f>
        <v/>
      </c>
      <c r="W182" s="22" t="str">
        <f aca="false">IF(COUNT($J182:$L182)&lt;3,"",Setup!$B$10*(6-$J182)+Setup!$B$11*$K182+Setup!$B$12*$L182)</f>
        <v/>
      </c>
      <c r="X182" s="23" t="str">
        <f aca="false">IF($W182="","",IF(LEFT(Setup!$B$15,1)="B",EXP(Setup!$B$14*($W182-1)),1+Setup!$B$14*($W182-1)))</f>
        <v/>
      </c>
      <c r="Y182" s="23" t="str">
        <f aca="false">IF($N182&lt;&gt;"",$N182,$X182)</f>
        <v/>
      </c>
      <c r="Z182" s="22" t="str">
        <f aca="false">IF(OR($H182="",$U182="",$V182=""),"",$H182*$U182*$V182)</f>
        <v/>
      </c>
      <c r="AA182" s="22" t="str">
        <f aca="false">IF(OR($Z182="",$Y182=""),"",$Z182*$Y182)</f>
        <v/>
      </c>
      <c r="AB182" s="1" t="str">
        <f aca="false">IF($A182="","",IF(OR($E182="",$G182="",$H182="",$I182="",AND($N182="",COUNT($J182:$L182)&lt;3)),"Missing: "&amp;IF($E182="","P ","")&amp;IF($G182="","T ","")&amp;IF($H182="","I ","")&amp;IF($I182="","C ","")&amp;IF(AND($N182="",COUNT($J182:$L182)&lt;3),"C_ctrl/C_ext/C_irr",""),IF(N($F182)&gt;$E182,"P_floor &gt; P (floor capped at P)","OK")))</f>
        <v/>
      </c>
      <c r="AC182" s="1" t="str">
        <f aca="false">IF($AA182="","",$AA182+ROW()/1000000)</f>
        <v/>
      </c>
      <c r="AD182" s="18" t="n">
        <f aca="false">IF(AND($A182&lt;&gt;"",ISNUMBER($AA182)),1,0)</f>
        <v>0</v>
      </c>
      <c r="AE182" s="18" t="n">
        <f aca="false">IF($AD182=1,$H182,0)</f>
        <v>0</v>
      </c>
      <c r="AF182" s="18" t="n">
        <f aca="false">IF($AD182=1,$E182,0)</f>
        <v>0</v>
      </c>
      <c r="AG182" s="18" t="n">
        <f aca="false">IF($AD182=1,MIN(N($F182),$E182),0)</f>
        <v>0</v>
      </c>
      <c r="AH182" s="18" t="n">
        <f aca="false">IF($AD182=1,$I182,0)</f>
        <v>0</v>
      </c>
      <c r="AI182" s="18" t="n">
        <f aca="false">IF($AD182=1,$G182,1)</f>
        <v>1</v>
      </c>
      <c r="AJ182" s="18" t="n">
        <f aca="false">IF($AD182=1,$V182,1)</f>
        <v>1</v>
      </c>
      <c r="AK182" s="18" t="n">
        <f aca="false">IF($AD182=1,$Y182,1)</f>
        <v>1</v>
      </c>
    </row>
    <row r="183" customFormat="false" ht="15" hidden="false" customHeight="false" outlineLevel="0" collapsed="false">
      <c r="A183" s="10"/>
      <c r="B183" s="10"/>
      <c r="C183" s="12"/>
      <c r="D183" s="17"/>
      <c r="E183" s="13"/>
      <c r="F183" s="21"/>
      <c r="G183" s="12"/>
      <c r="H183" s="12"/>
      <c r="I183" s="12"/>
      <c r="J183" s="12"/>
      <c r="K183" s="12"/>
      <c r="L183" s="12"/>
      <c r="M183" s="15"/>
      <c r="N183" s="15"/>
      <c r="O183" s="12"/>
      <c r="P183" s="17"/>
      <c r="Q183" s="22" t="str">
        <f aca="false">IF(OR($G183="",Setup!$B$5=""),"",Setup!$B$5/$G183)</f>
        <v/>
      </c>
      <c r="R183" s="23" t="str">
        <f aca="false">IF(OR($E183="",$Q183=""),"",1-(1-$E183)^$Q183)</f>
        <v/>
      </c>
      <c r="S183" s="22" t="str">
        <f aca="false">IF(OR($R183="",$H183=""),"",$H183*$R183)</f>
        <v/>
      </c>
      <c r="T183" s="23" t="str">
        <f aca="false">IF(OR($E183="",$I183=""),"",MIN(1,MIN(N($F183),$E183)+($E183-MIN(N($F183),$E183))*(1-$I183)))</f>
        <v/>
      </c>
      <c r="U183" s="23" t="str">
        <f aca="false">IF(OR($T183="",$Q183=""),"",1-(1-$T183)^$Q183)</f>
        <v/>
      </c>
      <c r="V183" s="23" t="str">
        <f aca="false">IF($M183&lt;&gt;"",$M183,IF($G183="","",MAX(1,(Setup!$B$6/$G183)^Setup!$B$7)))</f>
        <v/>
      </c>
      <c r="W183" s="22" t="str">
        <f aca="false">IF(COUNT($J183:$L183)&lt;3,"",Setup!$B$10*(6-$J183)+Setup!$B$11*$K183+Setup!$B$12*$L183)</f>
        <v/>
      </c>
      <c r="X183" s="23" t="str">
        <f aca="false">IF($W183="","",IF(LEFT(Setup!$B$15,1)="B",EXP(Setup!$B$14*($W183-1)),1+Setup!$B$14*($W183-1)))</f>
        <v/>
      </c>
      <c r="Y183" s="23" t="str">
        <f aca="false">IF($N183&lt;&gt;"",$N183,$X183)</f>
        <v/>
      </c>
      <c r="Z183" s="22" t="str">
        <f aca="false">IF(OR($H183="",$U183="",$V183=""),"",$H183*$U183*$V183)</f>
        <v/>
      </c>
      <c r="AA183" s="22" t="str">
        <f aca="false">IF(OR($Z183="",$Y183=""),"",$Z183*$Y183)</f>
        <v/>
      </c>
      <c r="AB183" s="1" t="str">
        <f aca="false">IF($A183="","",IF(OR($E183="",$G183="",$H183="",$I183="",AND($N183="",COUNT($J183:$L183)&lt;3)),"Missing: "&amp;IF($E183="","P ","")&amp;IF($G183="","T ","")&amp;IF($H183="","I ","")&amp;IF($I183="","C ","")&amp;IF(AND($N183="",COUNT($J183:$L183)&lt;3),"C_ctrl/C_ext/C_irr",""),IF(N($F183)&gt;$E183,"P_floor &gt; P (floor capped at P)","OK")))</f>
        <v/>
      </c>
      <c r="AC183" s="1" t="str">
        <f aca="false">IF($AA183="","",$AA183+ROW()/1000000)</f>
        <v/>
      </c>
      <c r="AD183" s="18" t="n">
        <f aca="false">IF(AND($A183&lt;&gt;"",ISNUMBER($AA183)),1,0)</f>
        <v>0</v>
      </c>
      <c r="AE183" s="18" t="n">
        <f aca="false">IF($AD183=1,$H183,0)</f>
        <v>0</v>
      </c>
      <c r="AF183" s="18" t="n">
        <f aca="false">IF($AD183=1,$E183,0)</f>
        <v>0</v>
      </c>
      <c r="AG183" s="18" t="n">
        <f aca="false">IF($AD183=1,MIN(N($F183),$E183),0)</f>
        <v>0</v>
      </c>
      <c r="AH183" s="18" t="n">
        <f aca="false">IF($AD183=1,$I183,0)</f>
        <v>0</v>
      </c>
      <c r="AI183" s="18" t="n">
        <f aca="false">IF($AD183=1,$G183,1)</f>
        <v>1</v>
      </c>
      <c r="AJ183" s="18" t="n">
        <f aca="false">IF($AD183=1,$V183,1)</f>
        <v>1</v>
      </c>
      <c r="AK183" s="18" t="n">
        <f aca="false">IF($AD183=1,$Y183,1)</f>
        <v>1</v>
      </c>
    </row>
    <row r="184" customFormat="false" ht="15" hidden="false" customHeight="false" outlineLevel="0" collapsed="false">
      <c r="A184" s="10"/>
      <c r="B184" s="10"/>
      <c r="C184" s="12"/>
      <c r="D184" s="17"/>
      <c r="E184" s="13"/>
      <c r="F184" s="21"/>
      <c r="G184" s="12"/>
      <c r="H184" s="12"/>
      <c r="I184" s="12"/>
      <c r="J184" s="12"/>
      <c r="K184" s="12"/>
      <c r="L184" s="12"/>
      <c r="M184" s="15"/>
      <c r="N184" s="15"/>
      <c r="O184" s="12"/>
      <c r="P184" s="17"/>
      <c r="Q184" s="22" t="str">
        <f aca="false">IF(OR($G184="",Setup!$B$5=""),"",Setup!$B$5/$G184)</f>
        <v/>
      </c>
      <c r="R184" s="23" t="str">
        <f aca="false">IF(OR($E184="",$Q184=""),"",1-(1-$E184)^$Q184)</f>
        <v/>
      </c>
      <c r="S184" s="22" t="str">
        <f aca="false">IF(OR($R184="",$H184=""),"",$H184*$R184)</f>
        <v/>
      </c>
      <c r="T184" s="23" t="str">
        <f aca="false">IF(OR($E184="",$I184=""),"",MIN(1,MIN(N($F184),$E184)+($E184-MIN(N($F184),$E184))*(1-$I184)))</f>
        <v/>
      </c>
      <c r="U184" s="23" t="str">
        <f aca="false">IF(OR($T184="",$Q184=""),"",1-(1-$T184)^$Q184)</f>
        <v/>
      </c>
      <c r="V184" s="23" t="str">
        <f aca="false">IF($M184&lt;&gt;"",$M184,IF($G184="","",MAX(1,(Setup!$B$6/$G184)^Setup!$B$7)))</f>
        <v/>
      </c>
      <c r="W184" s="22" t="str">
        <f aca="false">IF(COUNT($J184:$L184)&lt;3,"",Setup!$B$10*(6-$J184)+Setup!$B$11*$K184+Setup!$B$12*$L184)</f>
        <v/>
      </c>
      <c r="X184" s="23" t="str">
        <f aca="false">IF($W184="","",IF(LEFT(Setup!$B$15,1)="B",EXP(Setup!$B$14*($W184-1)),1+Setup!$B$14*($W184-1)))</f>
        <v/>
      </c>
      <c r="Y184" s="23" t="str">
        <f aca="false">IF($N184&lt;&gt;"",$N184,$X184)</f>
        <v/>
      </c>
      <c r="Z184" s="22" t="str">
        <f aca="false">IF(OR($H184="",$U184="",$V184=""),"",$H184*$U184*$V184)</f>
        <v/>
      </c>
      <c r="AA184" s="22" t="str">
        <f aca="false">IF(OR($Z184="",$Y184=""),"",$Z184*$Y184)</f>
        <v/>
      </c>
      <c r="AB184" s="1" t="str">
        <f aca="false">IF($A184="","",IF(OR($E184="",$G184="",$H184="",$I184="",AND($N184="",COUNT($J184:$L184)&lt;3)),"Missing: "&amp;IF($E184="","P ","")&amp;IF($G184="","T ","")&amp;IF($H184="","I ","")&amp;IF($I184="","C ","")&amp;IF(AND($N184="",COUNT($J184:$L184)&lt;3),"C_ctrl/C_ext/C_irr",""),IF(N($F184)&gt;$E184,"P_floor &gt; P (floor capped at P)","OK")))</f>
        <v/>
      </c>
      <c r="AC184" s="1" t="str">
        <f aca="false">IF($AA184="","",$AA184+ROW()/1000000)</f>
        <v/>
      </c>
      <c r="AD184" s="18" t="n">
        <f aca="false">IF(AND($A184&lt;&gt;"",ISNUMBER($AA184)),1,0)</f>
        <v>0</v>
      </c>
      <c r="AE184" s="18" t="n">
        <f aca="false">IF($AD184=1,$H184,0)</f>
        <v>0</v>
      </c>
      <c r="AF184" s="18" t="n">
        <f aca="false">IF($AD184=1,$E184,0)</f>
        <v>0</v>
      </c>
      <c r="AG184" s="18" t="n">
        <f aca="false">IF($AD184=1,MIN(N($F184),$E184),0)</f>
        <v>0</v>
      </c>
      <c r="AH184" s="18" t="n">
        <f aca="false">IF($AD184=1,$I184,0)</f>
        <v>0</v>
      </c>
      <c r="AI184" s="18" t="n">
        <f aca="false">IF($AD184=1,$G184,1)</f>
        <v>1</v>
      </c>
      <c r="AJ184" s="18" t="n">
        <f aca="false">IF($AD184=1,$V184,1)</f>
        <v>1</v>
      </c>
      <c r="AK184" s="18" t="n">
        <f aca="false">IF($AD184=1,$Y184,1)</f>
        <v>1</v>
      </c>
    </row>
    <row r="185" customFormat="false" ht="15" hidden="false" customHeight="false" outlineLevel="0" collapsed="false">
      <c r="A185" s="10"/>
      <c r="B185" s="10"/>
      <c r="C185" s="12"/>
      <c r="D185" s="17"/>
      <c r="E185" s="13"/>
      <c r="F185" s="21"/>
      <c r="G185" s="12"/>
      <c r="H185" s="12"/>
      <c r="I185" s="12"/>
      <c r="J185" s="12"/>
      <c r="K185" s="12"/>
      <c r="L185" s="12"/>
      <c r="M185" s="15"/>
      <c r="N185" s="15"/>
      <c r="O185" s="12"/>
      <c r="P185" s="17"/>
      <c r="Q185" s="22" t="str">
        <f aca="false">IF(OR($G185="",Setup!$B$5=""),"",Setup!$B$5/$G185)</f>
        <v/>
      </c>
      <c r="R185" s="23" t="str">
        <f aca="false">IF(OR($E185="",$Q185=""),"",1-(1-$E185)^$Q185)</f>
        <v/>
      </c>
      <c r="S185" s="22" t="str">
        <f aca="false">IF(OR($R185="",$H185=""),"",$H185*$R185)</f>
        <v/>
      </c>
      <c r="T185" s="23" t="str">
        <f aca="false">IF(OR($E185="",$I185=""),"",MIN(1,MIN(N($F185),$E185)+($E185-MIN(N($F185),$E185))*(1-$I185)))</f>
        <v/>
      </c>
      <c r="U185" s="23" t="str">
        <f aca="false">IF(OR($T185="",$Q185=""),"",1-(1-$T185)^$Q185)</f>
        <v/>
      </c>
      <c r="V185" s="23" t="str">
        <f aca="false">IF($M185&lt;&gt;"",$M185,IF($G185="","",MAX(1,(Setup!$B$6/$G185)^Setup!$B$7)))</f>
        <v/>
      </c>
      <c r="W185" s="22" t="str">
        <f aca="false">IF(COUNT($J185:$L185)&lt;3,"",Setup!$B$10*(6-$J185)+Setup!$B$11*$K185+Setup!$B$12*$L185)</f>
        <v/>
      </c>
      <c r="X185" s="23" t="str">
        <f aca="false">IF($W185="","",IF(LEFT(Setup!$B$15,1)="B",EXP(Setup!$B$14*($W185-1)),1+Setup!$B$14*($W185-1)))</f>
        <v/>
      </c>
      <c r="Y185" s="23" t="str">
        <f aca="false">IF($N185&lt;&gt;"",$N185,$X185)</f>
        <v/>
      </c>
      <c r="Z185" s="22" t="str">
        <f aca="false">IF(OR($H185="",$U185="",$V185=""),"",$H185*$U185*$V185)</f>
        <v/>
      </c>
      <c r="AA185" s="22" t="str">
        <f aca="false">IF(OR($Z185="",$Y185=""),"",$Z185*$Y185)</f>
        <v/>
      </c>
      <c r="AB185" s="1" t="str">
        <f aca="false">IF($A185="","",IF(OR($E185="",$G185="",$H185="",$I185="",AND($N185="",COUNT($J185:$L185)&lt;3)),"Missing: "&amp;IF($E185="","P ","")&amp;IF($G185="","T ","")&amp;IF($H185="","I ","")&amp;IF($I185="","C ","")&amp;IF(AND($N185="",COUNT($J185:$L185)&lt;3),"C_ctrl/C_ext/C_irr",""),IF(N($F185)&gt;$E185,"P_floor &gt; P (floor capped at P)","OK")))</f>
        <v/>
      </c>
      <c r="AC185" s="1" t="str">
        <f aca="false">IF($AA185="","",$AA185+ROW()/1000000)</f>
        <v/>
      </c>
      <c r="AD185" s="18" t="n">
        <f aca="false">IF(AND($A185&lt;&gt;"",ISNUMBER($AA185)),1,0)</f>
        <v>0</v>
      </c>
      <c r="AE185" s="18" t="n">
        <f aca="false">IF($AD185=1,$H185,0)</f>
        <v>0</v>
      </c>
      <c r="AF185" s="18" t="n">
        <f aca="false">IF($AD185=1,$E185,0)</f>
        <v>0</v>
      </c>
      <c r="AG185" s="18" t="n">
        <f aca="false">IF($AD185=1,MIN(N($F185),$E185),0)</f>
        <v>0</v>
      </c>
      <c r="AH185" s="18" t="n">
        <f aca="false">IF($AD185=1,$I185,0)</f>
        <v>0</v>
      </c>
      <c r="AI185" s="18" t="n">
        <f aca="false">IF($AD185=1,$G185,1)</f>
        <v>1</v>
      </c>
      <c r="AJ185" s="18" t="n">
        <f aca="false">IF($AD185=1,$V185,1)</f>
        <v>1</v>
      </c>
      <c r="AK185" s="18" t="n">
        <f aca="false">IF($AD185=1,$Y185,1)</f>
        <v>1</v>
      </c>
    </row>
    <row r="186" customFormat="false" ht="15" hidden="false" customHeight="false" outlineLevel="0" collapsed="false">
      <c r="A186" s="10"/>
      <c r="B186" s="10"/>
      <c r="C186" s="12"/>
      <c r="D186" s="17"/>
      <c r="E186" s="13"/>
      <c r="F186" s="21"/>
      <c r="G186" s="12"/>
      <c r="H186" s="12"/>
      <c r="I186" s="12"/>
      <c r="J186" s="12"/>
      <c r="K186" s="12"/>
      <c r="L186" s="12"/>
      <c r="M186" s="15"/>
      <c r="N186" s="15"/>
      <c r="O186" s="12"/>
      <c r="P186" s="17"/>
      <c r="Q186" s="22" t="str">
        <f aca="false">IF(OR($G186="",Setup!$B$5=""),"",Setup!$B$5/$G186)</f>
        <v/>
      </c>
      <c r="R186" s="23" t="str">
        <f aca="false">IF(OR($E186="",$Q186=""),"",1-(1-$E186)^$Q186)</f>
        <v/>
      </c>
      <c r="S186" s="22" t="str">
        <f aca="false">IF(OR($R186="",$H186=""),"",$H186*$R186)</f>
        <v/>
      </c>
      <c r="T186" s="23" t="str">
        <f aca="false">IF(OR($E186="",$I186=""),"",MIN(1,MIN(N($F186),$E186)+($E186-MIN(N($F186),$E186))*(1-$I186)))</f>
        <v/>
      </c>
      <c r="U186" s="23" t="str">
        <f aca="false">IF(OR($T186="",$Q186=""),"",1-(1-$T186)^$Q186)</f>
        <v/>
      </c>
      <c r="V186" s="23" t="str">
        <f aca="false">IF($M186&lt;&gt;"",$M186,IF($G186="","",MAX(1,(Setup!$B$6/$G186)^Setup!$B$7)))</f>
        <v/>
      </c>
      <c r="W186" s="22" t="str">
        <f aca="false">IF(COUNT($J186:$L186)&lt;3,"",Setup!$B$10*(6-$J186)+Setup!$B$11*$K186+Setup!$B$12*$L186)</f>
        <v/>
      </c>
      <c r="X186" s="23" t="str">
        <f aca="false">IF($W186="","",IF(LEFT(Setup!$B$15,1)="B",EXP(Setup!$B$14*($W186-1)),1+Setup!$B$14*($W186-1)))</f>
        <v/>
      </c>
      <c r="Y186" s="23" t="str">
        <f aca="false">IF($N186&lt;&gt;"",$N186,$X186)</f>
        <v/>
      </c>
      <c r="Z186" s="22" t="str">
        <f aca="false">IF(OR($H186="",$U186="",$V186=""),"",$H186*$U186*$V186)</f>
        <v/>
      </c>
      <c r="AA186" s="22" t="str">
        <f aca="false">IF(OR($Z186="",$Y186=""),"",$Z186*$Y186)</f>
        <v/>
      </c>
      <c r="AB186" s="1" t="str">
        <f aca="false">IF($A186="","",IF(OR($E186="",$G186="",$H186="",$I186="",AND($N186="",COUNT($J186:$L186)&lt;3)),"Missing: "&amp;IF($E186="","P ","")&amp;IF($G186="","T ","")&amp;IF($H186="","I ","")&amp;IF($I186="","C ","")&amp;IF(AND($N186="",COUNT($J186:$L186)&lt;3),"C_ctrl/C_ext/C_irr",""),IF(N($F186)&gt;$E186,"P_floor &gt; P (floor capped at P)","OK")))</f>
        <v/>
      </c>
      <c r="AC186" s="1" t="str">
        <f aca="false">IF($AA186="","",$AA186+ROW()/1000000)</f>
        <v/>
      </c>
      <c r="AD186" s="18" t="n">
        <f aca="false">IF(AND($A186&lt;&gt;"",ISNUMBER($AA186)),1,0)</f>
        <v>0</v>
      </c>
      <c r="AE186" s="18" t="n">
        <f aca="false">IF($AD186=1,$H186,0)</f>
        <v>0</v>
      </c>
      <c r="AF186" s="18" t="n">
        <f aca="false">IF($AD186=1,$E186,0)</f>
        <v>0</v>
      </c>
      <c r="AG186" s="18" t="n">
        <f aca="false">IF($AD186=1,MIN(N($F186),$E186),0)</f>
        <v>0</v>
      </c>
      <c r="AH186" s="18" t="n">
        <f aca="false">IF($AD186=1,$I186,0)</f>
        <v>0</v>
      </c>
      <c r="AI186" s="18" t="n">
        <f aca="false">IF($AD186=1,$G186,1)</f>
        <v>1</v>
      </c>
      <c r="AJ186" s="18" t="n">
        <f aca="false">IF($AD186=1,$V186,1)</f>
        <v>1</v>
      </c>
      <c r="AK186" s="18" t="n">
        <f aca="false">IF($AD186=1,$Y186,1)</f>
        <v>1</v>
      </c>
    </row>
    <row r="187" customFormat="false" ht="15" hidden="false" customHeight="false" outlineLevel="0" collapsed="false">
      <c r="A187" s="10"/>
      <c r="B187" s="10"/>
      <c r="C187" s="12"/>
      <c r="D187" s="17"/>
      <c r="E187" s="13"/>
      <c r="F187" s="21"/>
      <c r="G187" s="12"/>
      <c r="H187" s="12"/>
      <c r="I187" s="12"/>
      <c r="J187" s="12"/>
      <c r="K187" s="12"/>
      <c r="L187" s="12"/>
      <c r="M187" s="15"/>
      <c r="N187" s="15"/>
      <c r="O187" s="12"/>
      <c r="P187" s="17"/>
      <c r="Q187" s="22" t="str">
        <f aca="false">IF(OR($G187="",Setup!$B$5=""),"",Setup!$B$5/$G187)</f>
        <v/>
      </c>
      <c r="R187" s="23" t="str">
        <f aca="false">IF(OR($E187="",$Q187=""),"",1-(1-$E187)^$Q187)</f>
        <v/>
      </c>
      <c r="S187" s="22" t="str">
        <f aca="false">IF(OR($R187="",$H187=""),"",$H187*$R187)</f>
        <v/>
      </c>
      <c r="T187" s="23" t="str">
        <f aca="false">IF(OR($E187="",$I187=""),"",MIN(1,MIN(N($F187),$E187)+($E187-MIN(N($F187),$E187))*(1-$I187)))</f>
        <v/>
      </c>
      <c r="U187" s="23" t="str">
        <f aca="false">IF(OR($T187="",$Q187=""),"",1-(1-$T187)^$Q187)</f>
        <v/>
      </c>
      <c r="V187" s="23" t="str">
        <f aca="false">IF($M187&lt;&gt;"",$M187,IF($G187="","",MAX(1,(Setup!$B$6/$G187)^Setup!$B$7)))</f>
        <v/>
      </c>
      <c r="W187" s="22" t="str">
        <f aca="false">IF(COUNT($J187:$L187)&lt;3,"",Setup!$B$10*(6-$J187)+Setup!$B$11*$K187+Setup!$B$12*$L187)</f>
        <v/>
      </c>
      <c r="X187" s="23" t="str">
        <f aca="false">IF($W187="","",IF(LEFT(Setup!$B$15,1)="B",EXP(Setup!$B$14*($W187-1)),1+Setup!$B$14*($W187-1)))</f>
        <v/>
      </c>
      <c r="Y187" s="23" t="str">
        <f aca="false">IF($N187&lt;&gt;"",$N187,$X187)</f>
        <v/>
      </c>
      <c r="Z187" s="22" t="str">
        <f aca="false">IF(OR($H187="",$U187="",$V187=""),"",$H187*$U187*$V187)</f>
        <v/>
      </c>
      <c r="AA187" s="22" t="str">
        <f aca="false">IF(OR($Z187="",$Y187=""),"",$Z187*$Y187)</f>
        <v/>
      </c>
      <c r="AB187" s="1" t="str">
        <f aca="false">IF($A187="","",IF(OR($E187="",$G187="",$H187="",$I187="",AND($N187="",COUNT($J187:$L187)&lt;3)),"Missing: "&amp;IF($E187="","P ","")&amp;IF($G187="","T ","")&amp;IF($H187="","I ","")&amp;IF($I187="","C ","")&amp;IF(AND($N187="",COUNT($J187:$L187)&lt;3),"C_ctrl/C_ext/C_irr",""),IF(N($F187)&gt;$E187,"P_floor &gt; P (floor capped at P)","OK")))</f>
        <v/>
      </c>
      <c r="AC187" s="1" t="str">
        <f aca="false">IF($AA187="","",$AA187+ROW()/1000000)</f>
        <v/>
      </c>
      <c r="AD187" s="18" t="n">
        <f aca="false">IF(AND($A187&lt;&gt;"",ISNUMBER($AA187)),1,0)</f>
        <v>0</v>
      </c>
      <c r="AE187" s="18" t="n">
        <f aca="false">IF($AD187=1,$H187,0)</f>
        <v>0</v>
      </c>
      <c r="AF187" s="18" t="n">
        <f aca="false">IF($AD187=1,$E187,0)</f>
        <v>0</v>
      </c>
      <c r="AG187" s="18" t="n">
        <f aca="false">IF($AD187=1,MIN(N($F187),$E187),0)</f>
        <v>0</v>
      </c>
      <c r="AH187" s="18" t="n">
        <f aca="false">IF($AD187=1,$I187,0)</f>
        <v>0</v>
      </c>
      <c r="AI187" s="18" t="n">
        <f aca="false">IF($AD187=1,$G187,1)</f>
        <v>1</v>
      </c>
      <c r="AJ187" s="18" t="n">
        <f aca="false">IF($AD187=1,$V187,1)</f>
        <v>1</v>
      </c>
      <c r="AK187" s="18" t="n">
        <f aca="false">IF($AD187=1,$Y187,1)</f>
        <v>1</v>
      </c>
    </row>
    <row r="188" customFormat="false" ht="15" hidden="false" customHeight="false" outlineLevel="0" collapsed="false">
      <c r="A188" s="10"/>
      <c r="B188" s="10"/>
      <c r="C188" s="12"/>
      <c r="D188" s="17"/>
      <c r="E188" s="13"/>
      <c r="F188" s="21"/>
      <c r="G188" s="12"/>
      <c r="H188" s="12"/>
      <c r="I188" s="12"/>
      <c r="J188" s="12"/>
      <c r="K188" s="12"/>
      <c r="L188" s="12"/>
      <c r="M188" s="15"/>
      <c r="N188" s="15"/>
      <c r="O188" s="12"/>
      <c r="P188" s="17"/>
      <c r="Q188" s="22" t="str">
        <f aca="false">IF(OR($G188="",Setup!$B$5=""),"",Setup!$B$5/$G188)</f>
        <v/>
      </c>
      <c r="R188" s="23" t="str">
        <f aca="false">IF(OR($E188="",$Q188=""),"",1-(1-$E188)^$Q188)</f>
        <v/>
      </c>
      <c r="S188" s="22" t="str">
        <f aca="false">IF(OR($R188="",$H188=""),"",$H188*$R188)</f>
        <v/>
      </c>
      <c r="T188" s="23" t="str">
        <f aca="false">IF(OR($E188="",$I188=""),"",MIN(1,MIN(N($F188),$E188)+($E188-MIN(N($F188),$E188))*(1-$I188)))</f>
        <v/>
      </c>
      <c r="U188" s="23" t="str">
        <f aca="false">IF(OR($T188="",$Q188=""),"",1-(1-$T188)^$Q188)</f>
        <v/>
      </c>
      <c r="V188" s="23" t="str">
        <f aca="false">IF($M188&lt;&gt;"",$M188,IF($G188="","",MAX(1,(Setup!$B$6/$G188)^Setup!$B$7)))</f>
        <v/>
      </c>
      <c r="W188" s="22" t="str">
        <f aca="false">IF(COUNT($J188:$L188)&lt;3,"",Setup!$B$10*(6-$J188)+Setup!$B$11*$K188+Setup!$B$12*$L188)</f>
        <v/>
      </c>
      <c r="X188" s="23" t="str">
        <f aca="false">IF($W188="","",IF(LEFT(Setup!$B$15,1)="B",EXP(Setup!$B$14*($W188-1)),1+Setup!$B$14*($W188-1)))</f>
        <v/>
      </c>
      <c r="Y188" s="23" t="str">
        <f aca="false">IF($N188&lt;&gt;"",$N188,$X188)</f>
        <v/>
      </c>
      <c r="Z188" s="22" t="str">
        <f aca="false">IF(OR($H188="",$U188="",$V188=""),"",$H188*$U188*$V188)</f>
        <v/>
      </c>
      <c r="AA188" s="22" t="str">
        <f aca="false">IF(OR($Z188="",$Y188=""),"",$Z188*$Y188)</f>
        <v/>
      </c>
      <c r="AB188" s="1" t="str">
        <f aca="false">IF($A188="","",IF(OR($E188="",$G188="",$H188="",$I188="",AND($N188="",COUNT($J188:$L188)&lt;3)),"Missing: "&amp;IF($E188="","P ","")&amp;IF($G188="","T ","")&amp;IF($H188="","I ","")&amp;IF($I188="","C ","")&amp;IF(AND($N188="",COUNT($J188:$L188)&lt;3),"C_ctrl/C_ext/C_irr",""),IF(N($F188)&gt;$E188,"P_floor &gt; P (floor capped at P)","OK")))</f>
        <v/>
      </c>
      <c r="AC188" s="1" t="str">
        <f aca="false">IF($AA188="","",$AA188+ROW()/1000000)</f>
        <v/>
      </c>
      <c r="AD188" s="18" t="n">
        <f aca="false">IF(AND($A188&lt;&gt;"",ISNUMBER($AA188)),1,0)</f>
        <v>0</v>
      </c>
      <c r="AE188" s="18" t="n">
        <f aca="false">IF($AD188=1,$H188,0)</f>
        <v>0</v>
      </c>
      <c r="AF188" s="18" t="n">
        <f aca="false">IF($AD188=1,$E188,0)</f>
        <v>0</v>
      </c>
      <c r="AG188" s="18" t="n">
        <f aca="false">IF($AD188=1,MIN(N($F188),$E188),0)</f>
        <v>0</v>
      </c>
      <c r="AH188" s="18" t="n">
        <f aca="false">IF($AD188=1,$I188,0)</f>
        <v>0</v>
      </c>
      <c r="AI188" s="18" t="n">
        <f aca="false">IF($AD188=1,$G188,1)</f>
        <v>1</v>
      </c>
      <c r="AJ188" s="18" t="n">
        <f aca="false">IF($AD188=1,$V188,1)</f>
        <v>1</v>
      </c>
      <c r="AK188" s="18" t="n">
        <f aca="false">IF($AD188=1,$Y188,1)</f>
        <v>1</v>
      </c>
    </row>
    <row r="189" customFormat="false" ht="15" hidden="false" customHeight="false" outlineLevel="0" collapsed="false">
      <c r="A189" s="10"/>
      <c r="B189" s="10"/>
      <c r="C189" s="12"/>
      <c r="D189" s="17"/>
      <c r="E189" s="13"/>
      <c r="F189" s="21"/>
      <c r="G189" s="12"/>
      <c r="H189" s="12"/>
      <c r="I189" s="12"/>
      <c r="J189" s="12"/>
      <c r="K189" s="12"/>
      <c r="L189" s="12"/>
      <c r="M189" s="15"/>
      <c r="N189" s="15"/>
      <c r="O189" s="12"/>
      <c r="P189" s="17"/>
      <c r="Q189" s="22" t="str">
        <f aca="false">IF(OR($G189="",Setup!$B$5=""),"",Setup!$B$5/$G189)</f>
        <v/>
      </c>
      <c r="R189" s="23" t="str">
        <f aca="false">IF(OR($E189="",$Q189=""),"",1-(1-$E189)^$Q189)</f>
        <v/>
      </c>
      <c r="S189" s="22" t="str">
        <f aca="false">IF(OR($R189="",$H189=""),"",$H189*$R189)</f>
        <v/>
      </c>
      <c r="T189" s="23" t="str">
        <f aca="false">IF(OR($E189="",$I189=""),"",MIN(1,MIN(N($F189),$E189)+($E189-MIN(N($F189),$E189))*(1-$I189)))</f>
        <v/>
      </c>
      <c r="U189" s="23" t="str">
        <f aca="false">IF(OR($T189="",$Q189=""),"",1-(1-$T189)^$Q189)</f>
        <v/>
      </c>
      <c r="V189" s="23" t="str">
        <f aca="false">IF($M189&lt;&gt;"",$M189,IF($G189="","",MAX(1,(Setup!$B$6/$G189)^Setup!$B$7)))</f>
        <v/>
      </c>
      <c r="W189" s="22" t="str">
        <f aca="false">IF(COUNT($J189:$L189)&lt;3,"",Setup!$B$10*(6-$J189)+Setup!$B$11*$K189+Setup!$B$12*$L189)</f>
        <v/>
      </c>
      <c r="X189" s="23" t="str">
        <f aca="false">IF($W189="","",IF(LEFT(Setup!$B$15,1)="B",EXP(Setup!$B$14*($W189-1)),1+Setup!$B$14*($W189-1)))</f>
        <v/>
      </c>
      <c r="Y189" s="23" t="str">
        <f aca="false">IF($N189&lt;&gt;"",$N189,$X189)</f>
        <v/>
      </c>
      <c r="Z189" s="22" t="str">
        <f aca="false">IF(OR($H189="",$U189="",$V189=""),"",$H189*$U189*$V189)</f>
        <v/>
      </c>
      <c r="AA189" s="22" t="str">
        <f aca="false">IF(OR($Z189="",$Y189=""),"",$Z189*$Y189)</f>
        <v/>
      </c>
      <c r="AB189" s="1" t="str">
        <f aca="false">IF($A189="","",IF(OR($E189="",$G189="",$H189="",$I189="",AND($N189="",COUNT($J189:$L189)&lt;3)),"Missing: "&amp;IF($E189="","P ","")&amp;IF($G189="","T ","")&amp;IF($H189="","I ","")&amp;IF($I189="","C ","")&amp;IF(AND($N189="",COUNT($J189:$L189)&lt;3),"C_ctrl/C_ext/C_irr",""),IF(N($F189)&gt;$E189,"P_floor &gt; P (floor capped at P)","OK")))</f>
        <v/>
      </c>
      <c r="AC189" s="1" t="str">
        <f aca="false">IF($AA189="","",$AA189+ROW()/1000000)</f>
        <v/>
      </c>
      <c r="AD189" s="18" t="n">
        <f aca="false">IF(AND($A189&lt;&gt;"",ISNUMBER($AA189)),1,0)</f>
        <v>0</v>
      </c>
      <c r="AE189" s="18" t="n">
        <f aca="false">IF($AD189=1,$H189,0)</f>
        <v>0</v>
      </c>
      <c r="AF189" s="18" t="n">
        <f aca="false">IF($AD189=1,$E189,0)</f>
        <v>0</v>
      </c>
      <c r="AG189" s="18" t="n">
        <f aca="false">IF($AD189=1,MIN(N($F189),$E189),0)</f>
        <v>0</v>
      </c>
      <c r="AH189" s="18" t="n">
        <f aca="false">IF($AD189=1,$I189,0)</f>
        <v>0</v>
      </c>
      <c r="AI189" s="18" t="n">
        <f aca="false">IF($AD189=1,$G189,1)</f>
        <v>1</v>
      </c>
      <c r="AJ189" s="18" t="n">
        <f aca="false">IF($AD189=1,$V189,1)</f>
        <v>1</v>
      </c>
      <c r="AK189" s="18" t="n">
        <f aca="false">IF($AD189=1,$Y189,1)</f>
        <v>1</v>
      </c>
    </row>
    <row r="190" customFormat="false" ht="15" hidden="false" customHeight="false" outlineLevel="0" collapsed="false">
      <c r="A190" s="10"/>
      <c r="B190" s="10"/>
      <c r="C190" s="12"/>
      <c r="D190" s="17"/>
      <c r="E190" s="13"/>
      <c r="F190" s="21"/>
      <c r="G190" s="12"/>
      <c r="H190" s="12"/>
      <c r="I190" s="12"/>
      <c r="J190" s="12"/>
      <c r="K190" s="12"/>
      <c r="L190" s="12"/>
      <c r="M190" s="15"/>
      <c r="N190" s="15"/>
      <c r="O190" s="12"/>
      <c r="P190" s="17"/>
      <c r="Q190" s="22" t="str">
        <f aca="false">IF(OR($G190="",Setup!$B$5=""),"",Setup!$B$5/$G190)</f>
        <v/>
      </c>
      <c r="R190" s="23" t="str">
        <f aca="false">IF(OR($E190="",$Q190=""),"",1-(1-$E190)^$Q190)</f>
        <v/>
      </c>
      <c r="S190" s="22" t="str">
        <f aca="false">IF(OR($R190="",$H190=""),"",$H190*$R190)</f>
        <v/>
      </c>
      <c r="T190" s="23" t="str">
        <f aca="false">IF(OR($E190="",$I190=""),"",MIN(1,MIN(N($F190),$E190)+($E190-MIN(N($F190),$E190))*(1-$I190)))</f>
        <v/>
      </c>
      <c r="U190" s="23" t="str">
        <f aca="false">IF(OR($T190="",$Q190=""),"",1-(1-$T190)^$Q190)</f>
        <v/>
      </c>
      <c r="V190" s="23" t="str">
        <f aca="false">IF($M190&lt;&gt;"",$M190,IF($G190="","",MAX(1,(Setup!$B$6/$G190)^Setup!$B$7)))</f>
        <v/>
      </c>
      <c r="W190" s="22" t="str">
        <f aca="false">IF(COUNT($J190:$L190)&lt;3,"",Setup!$B$10*(6-$J190)+Setup!$B$11*$K190+Setup!$B$12*$L190)</f>
        <v/>
      </c>
      <c r="X190" s="23" t="str">
        <f aca="false">IF($W190="","",IF(LEFT(Setup!$B$15,1)="B",EXP(Setup!$B$14*($W190-1)),1+Setup!$B$14*($W190-1)))</f>
        <v/>
      </c>
      <c r="Y190" s="23" t="str">
        <f aca="false">IF($N190&lt;&gt;"",$N190,$X190)</f>
        <v/>
      </c>
      <c r="Z190" s="22" t="str">
        <f aca="false">IF(OR($H190="",$U190="",$V190=""),"",$H190*$U190*$V190)</f>
        <v/>
      </c>
      <c r="AA190" s="22" t="str">
        <f aca="false">IF(OR($Z190="",$Y190=""),"",$Z190*$Y190)</f>
        <v/>
      </c>
      <c r="AB190" s="1" t="str">
        <f aca="false">IF($A190="","",IF(OR($E190="",$G190="",$H190="",$I190="",AND($N190="",COUNT($J190:$L190)&lt;3)),"Missing: "&amp;IF($E190="","P ","")&amp;IF($G190="","T ","")&amp;IF($H190="","I ","")&amp;IF($I190="","C ","")&amp;IF(AND($N190="",COUNT($J190:$L190)&lt;3),"C_ctrl/C_ext/C_irr",""),IF(N($F190)&gt;$E190,"P_floor &gt; P (floor capped at P)","OK")))</f>
        <v/>
      </c>
      <c r="AC190" s="1" t="str">
        <f aca="false">IF($AA190="","",$AA190+ROW()/1000000)</f>
        <v/>
      </c>
      <c r="AD190" s="18" t="n">
        <f aca="false">IF(AND($A190&lt;&gt;"",ISNUMBER($AA190)),1,0)</f>
        <v>0</v>
      </c>
      <c r="AE190" s="18" t="n">
        <f aca="false">IF($AD190=1,$H190,0)</f>
        <v>0</v>
      </c>
      <c r="AF190" s="18" t="n">
        <f aca="false">IF($AD190=1,$E190,0)</f>
        <v>0</v>
      </c>
      <c r="AG190" s="18" t="n">
        <f aca="false">IF($AD190=1,MIN(N($F190),$E190),0)</f>
        <v>0</v>
      </c>
      <c r="AH190" s="18" t="n">
        <f aca="false">IF($AD190=1,$I190,0)</f>
        <v>0</v>
      </c>
      <c r="AI190" s="18" t="n">
        <f aca="false">IF($AD190=1,$G190,1)</f>
        <v>1</v>
      </c>
      <c r="AJ190" s="18" t="n">
        <f aca="false">IF($AD190=1,$V190,1)</f>
        <v>1</v>
      </c>
      <c r="AK190" s="18" t="n">
        <f aca="false">IF($AD190=1,$Y190,1)</f>
        <v>1</v>
      </c>
    </row>
    <row r="191" customFormat="false" ht="15" hidden="false" customHeight="false" outlineLevel="0" collapsed="false">
      <c r="A191" s="10"/>
      <c r="B191" s="10"/>
      <c r="C191" s="12"/>
      <c r="D191" s="17"/>
      <c r="E191" s="13"/>
      <c r="F191" s="21"/>
      <c r="G191" s="12"/>
      <c r="H191" s="12"/>
      <c r="I191" s="12"/>
      <c r="J191" s="12"/>
      <c r="K191" s="12"/>
      <c r="L191" s="12"/>
      <c r="M191" s="15"/>
      <c r="N191" s="15"/>
      <c r="O191" s="12"/>
      <c r="P191" s="17"/>
      <c r="Q191" s="22" t="str">
        <f aca="false">IF(OR($G191="",Setup!$B$5=""),"",Setup!$B$5/$G191)</f>
        <v/>
      </c>
      <c r="R191" s="23" t="str">
        <f aca="false">IF(OR($E191="",$Q191=""),"",1-(1-$E191)^$Q191)</f>
        <v/>
      </c>
      <c r="S191" s="22" t="str">
        <f aca="false">IF(OR($R191="",$H191=""),"",$H191*$R191)</f>
        <v/>
      </c>
      <c r="T191" s="23" t="str">
        <f aca="false">IF(OR($E191="",$I191=""),"",MIN(1,MIN(N($F191),$E191)+($E191-MIN(N($F191),$E191))*(1-$I191)))</f>
        <v/>
      </c>
      <c r="U191" s="23" t="str">
        <f aca="false">IF(OR($T191="",$Q191=""),"",1-(1-$T191)^$Q191)</f>
        <v/>
      </c>
      <c r="V191" s="23" t="str">
        <f aca="false">IF($M191&lt;&gt;"",$M191,IF($G191="","",MAX(1,(Setup!$B$6/$G191)^Setup!$B$7)))</f>
        <v/>
      </c>
      <c r="W191" s="22" t="str">
        <f aca="false">IF(COUNT($J191:$L191)&lt;3,"",Setup!$B$10*(6-$J191)+Setup!$B$11*$K191+Setup!$B$12*$L191)</f>
        <v/>
      </c>
      <c r="X191" s="23" t="str">
        <f aca="false">IF($W191="","",IF(LEFT(Setup!$B$15,1)="B",EXP(Setup!$B$14*($W191-1)),1+Setup!$B$14*($W191-1)))</f>
        <v/>
      </c>
      <c r="Y191" s="23" t="str">
        <f aca="false">IF($N191&lt;&gt;"",$N191,$X191)</f>
        <v/>
      </c>
      <c r="Z191" s="22" t="str">
        <f aca="false">IF(OR($H191="",$U191="",$V191=""),"",$H191*$U191*$V191)</f>
        <v/>
      </c>
      <c r="AA191" s="22" t="str">
        <f aca="false">IF(OR($Z191="",$Y191=""),"",$Z191*$Y191)</f>
        <v/>
      </c>
      <c r="AB191" s="1" t="str">
        <f aca="false">IF($A191="","",IF(OR($E191="",$G191="",$H191="",$I191="",AND($N191="",COUNT($J191:$L191)&lt;3)),"Missing: "&amp;IF($E191="","P ","")&amp;IF($G191="","T ","")&amp;IF($H191="","I ","")&amp;IF($I191="","C ","")&amp;IF(AND($N191="",COUNT($J191:$L191)&lt;3),"C_ctrl/C_ext/C_irr",""),IF(N($F191)&gt;$E191,"P_floor &gt; P (floor capped at P)","OK")))</f>
        <v/>
      </c>
      <c r="AC191" s="1" t="str">
        <f aca="false">IF($AA191="","",$AA191+ROW()/1000000)</f>
        <v/>
      </c>
      <c r="AD191" s="18" t="n">
        <f aca="false">IF(AND($A191&lt;&gt;"",ISNUMBER($AA191)),1,0)</f>
        <v>0</v>
      </c>
      <c r="AE191" s="18" t="n">
        <f aca="false">IF($AD191=1,$H191,0)</f>
        <v>0</v>
      </c>
      <c r="AF191" s="18" t="n">
        <f aca="false">IF($AD191=1,$E191,0)</f>
        <v>0</v>
      </c>
      <c r="AG191" s="18" t="n">
        <f aca="false">IF($AD191=1,MIN(N($F191),$E191),0)</f>
        <v>0</v>
      </c>
      <c r="AH191" s="18" t="n">
        <f aca="false">IF($AD191=1,$I191,0)</f>
        <v>0</v>
      </c>
      <c r="AI191" s="18" t="n">
        <f aca="false">IF($AD191=1,$G191,1)</f>
        <v>1</v>
      </c>
      <c r="AJ191" s="18" t="n">
        <f aca="false">IF($AD191=1,$V191,1)</f>
        <v>1</v>
      </c>
      <c r="AK191" s="18" t="n">
        <f aca="false">IF($AD191=1,$Y191,1)</f>
        <v>1</v>
      </c>
    </row>
    <row r="192" customFormat="false" ht="15" hidden="false" customHeight="false" outlineLevel="0" collapsed="false">
      <c r="A192" s="10"/>
      <c r="B192" s="10"/>
      <c r="C192" s="12"/>
      <c r="D192" s="17"/>
      <c r="E192" s="13"/>
      <c r="F192" s="21"/>
      <c r="G192" s="12"/>
      <c r="H192" s="12"/>
      <c r="I192" s="12"/>
      <c r="J192" s="12"/>
      <c r="K192" s="12"/>
      <c r="L192" s="12"/>
      <c r="M192" s="15"/>
      <c r="N192" s="15"/>
      <c r="O192" s="12"/>
      <c r="P192" s="17"/>
      <c r="Q192" s="22" t="str">
        <f aca="false">IF(OR($G192="",Setup!$B$5=""),"",Setup!$B$5/$G192)</f>
        <v/>
      </c>
      <c r="R192" s="23" t="str">
        <f aca="false">IF(OR($E192="",$Q192=""),"",1-(1-$E192)^$Q192)</f>
        <v/>
      </c>
      <c r="S192" s="22" t="str">
        <f aca="false">IF(OR($R192="",$H192=""),"",$H192*$R192)</f>
        <v/>
      </c>
      <c r="T192" s="23" t="str">
        <f aca="false">IF(OR($E192="",$I192=""),"",MIN(1,MIN(N($F192),$E192)+($E192-MIN(N($F192),$E192))*(1-$I192)))</f>
        <v/>
      </c>
      <c r="U192" s="23" t="str">
        <f aca="false">IF(OR($T192="",$Q192=""),"",1-(1-$T192)^$Q192)</f>
        <v/>
      </c>
      <c r="V192" s="23" t="str">
        <f aca="false">IF($M192&lt;&gt;"",$M192,IF($G192="","",MAX(1,(Setup!$B$6/$G192)^Setup!$B$7)))</f>
        <v/>
      </c>
      <c r="W192" s="22" t="str">
        <f aca="false">IF(COUNT($J192:$L192)&lt;3,"",Setup!$B$10*(6-$J192)+Setup!$B$11*$K192+Setup!$B$12*$L192)</f>
        <v/>
      </c>
      <c r="X192" s="23" t="str">
        <f aca="false">IF($W192="","",IF(LEFT(Setup!$B$15,1)="B",EXP(Setup!$B$14*($W192-1)),1+Setup!$B$14*($W192-1)))</f>
        <v/>
      </c>
      <c r="Y192" s="23" t="str">
        <f aca="false">IF($N192&lt;&gt;"",$N192,$X192)</f>
        <v/>
      </c>
      <c r="Z192" s="22" t="str">
        <f aca="false">IF(OR($H192="",$U192="",$V192=""),"",$H192*$U192*$V192)</f>
        <v/>
      </c>
      <c r="AA192" s="22" t="str">
        <f aca="false">IF(OR($Z192="",$Y192=""),"",$Z192*$Y192)</f>
        <v/>
      </c>
      <c r="AB192" s="1" t="str">
        <f aca="false">IF($A192="","",IF(OR($E192="",$G192="",$H192="",$I192="",AND($N192="",COUNT($J192:$L192)&lt;3)),"Missing: "&amp;IF($E192="","P ","")&amp;IF($G192="","T ","")&amp;IF($H192="","I ","")&amp;IF($I192="","C ","")&amp;IF(AND($N192="",COUNT($J192:$L192)&lt;3),"C_ctrl/C_ext/C_irr",""),IF(N($F192)&gt;$E192,"P_floor &gt; P (floor capped at P)","OK")))</f>
        <v/>
      </c>
      <c r="AC192" s="1" t="str">
        <f aca="false">IF($AA192="","",$AA192+ROW()/1000000)</f>
        <v/>
      </c>
      <c r="AD192" s="18" t="n">
        <f aca="false">IF(AND($A192&lt;&gt;"",ISNUMBER($AA192)),1,0)</f>
        <v>0</v>
      </c>
      <c r="AE192" s="18" t="n">
        <f aca="false">IF($AD192=1,$H192,0)</f>
        <v>0</v>
      </c>
      <c r="AF192" s="18" t="n">
        <f aca="false">IF($AD192=1,$E192,0)</f>
        <v>0</v>
      </c>
      <c r="AG192" s="18" t="n">
        <f aca="false">IF($AD192=1,MIN(N($F192),$E192),0)</f>
        <v>0</v>
      </c>
      <c r="AH192" s="18" t="n">
        <f aca="false">IF($AD192=1,$I192,0)</f>
        <v>0</v>
      </c>
      <c r="AI192" s="18" t="n">
        <f aca="false">IF($AD192=1,$G192,1)</f>
        <v>1</v>
      </c>
      <c r="AJ192" s="18" t="n">
        <f aca="false">IF($AD192=1,$V192,1)</f>
        <v>1</v>
      </c>
      <c r="AK192" s="18" t="n">
        <f aca="false">IF($AD192=1,$Y192,1)</f>
        <v>1</v>
      </c>
    </row>
    <row r="193" customFormat="false" ht="15" hidden="false" customHeight="false" outlineLevel="0" collapsed="false">
      <c r="A193" s="10"/>
      <c r="B193" s="10"/>
      <c r="C193" s="12"/>
      <c r="D193" s="17"/>
      <c r="E193" s="13"/>
      <c r="F193" s="21"/>
      <c r="G193" s="12"/>
      <c r="H193" s="12"/>
      <c r="I193" s="12"/>
      <c r="J193" s="12"/>
      <c r="K193" s="12"/>
      <c r="L193" s="12"/>
      <c r="M193" s="15"/>
      <c r="N193" s="15"/>
      <c r="O193" s="12"/>
      <c r="P193" s="17"/>
      <c r="Q193" s="22" t="str">
        <f aca="false">IF(OR($G193="",Setup!$B$5=""),"",Setup!$B$5/$G193)</f>
        <v/>
      </c>
      <c r="R193" s="23" t="str">
        <f aca="false">IF(OR($E193="",$Q193=""),"",1-(1-$E193)^$Q193)</f>
        <v/>
      </c>
      <c r="S193" s="22" t="str">
        <f aca="false">IF(OR($R193="",$H193=""),"",$H193*$R193)</f>
        <v/>
      </c>
      <c r="T193" s="23" t="str">
        <f aca="false">IF(OR($E193="",$I193=""),"",MIN(1,MIN(N($F193),$E193)+($E193-MIN(N($F193),$E193))*(1-$I193)))</f>
        <v/>
      </c>
      <c r="U193" s="23" t="str">
        <f aca="false">IF(OR($T193="",$Q193=""),"",1-(1-$T193)^$Q193)</f>
        <v/>
      </c>
      <c r="V193" s="23" t="str">
        <f aca="false">IF($M193&lt;&gt;"",$M193,IF($G193="","",MAX(1,(Setup!$B$6/$G193)^Setup!$B$7)))</f>
        <v/>
      </c>
      <c r="W193" s="22" t="str">
        <f aca="false">IF(COUNT($J193:$L193)&lt;3,"",Setup!$B$10*(6-$J193)+Setup!$B$11*$K193+Setup!$B$12*$L193)</f>
        <v/>
      </c>
      <c r="X193" s="23" t="str">
        <f aca="false">IF($W193="","",IF(LEFT(Setup!$B$15,1)="B",EXP(Setup!$B$14*($W193-1)),1+Setup!$B$14*($W193-1)))</f>
        <v/>
      </c>
      <c r="Y193" s="23" t="str">
        <f aca="false">IF($N193&lt;&gt;"",$N193,$X193)</f>
        <v/>
      </c>
      <c r="Z193" s="22" t="str">
        <f aca="false">IF(OR($H193="",$U193="",$V193=""),"",$H193*$U193*$V193)</f>
        <v/>
      </c>
      <c r="AA193" s="22" t="str">
        <f aca="false">IF(OR($Z193="",$Y193=""),"",$Z193*$Y193)</f>
        <v/>
      </c>
      <c r="AB193" s="1" t="str">
        <f aca="false">IF($A193="","",IF(OR($E193="",$G193="",$H193="",$I193="",AND($N193="",COUNT($J193:$L193)&lt;3)),"Missing: "&amp;IF($E193="","P ","")&amp;IF($G193="","T ","")&amp;IF($H193="","I ","")&amp;IF($I193="","C ","")&amp;IF(AND($N193="",COUNT($J193:$L193)&lt;3),"C_ctrl/C_ext/C_irr",""),IF(N($F193)&gt;$E193,"P_floor &gt; P (floor capped at P)","OK")))</f>
        <v/>
      </c>
      <c r="AC193" s="1" t="str">
        <f aca="false">IF($AA193="","",$AA193+ROW()/1000000)</f>
        <v/>
      </c>
      <c r="AD193" s="18" t="n">
        <f aca="false">IF(AND($A193&lt;&gt;"",ISNUMBER($AA193)),1,0)</f>
        <v>0</v>
      </c>
      <c r="AE193" s="18" t="n">
        <f aca="false">IF($AD193=1,$H193,0)</f>
        <v>0</v>
      </c>
      <c r="AF193" s="18" t="n">
        <f aca="false">IF($AD193=1,$E193,0)</f>
        <v>0</v>
      </c>
      <c r="AG193" s="18" t="n">
        <f aca="false">IF($AD193=1,MIN(N($F193),$E193),0)</f>
        <v>0</v>
      </c>
      <c r="AH193" s="18" t="n">
        <f aca="false">IF($AD193=1,$I193,0)</f>
        <v>0</v>
      </c>
      <c r="AI193" s="18" t="n">
        <f aca="false">IF($AD193=1,$G193,1)</f>
        <v>1</v>
      </c>
      <c r="AJ193" s="18" t="n">
        <f aca="false">IF($AD193=1,$V193,1)</f>
        <v>1</v>
      </c>
      <c r="AK193" s="18" t="n">
        <f aca="false">IF($AD193=1,$Y193,1)</f>
        <v>1</v>
      </c>
    </row>
    <row r="194" customFormat="false" ht="15" hidden="false" customHeight="false" outlineLevel="0" collapsed="false">
      <c r="A194" s="10"/>
      <c r="B194" s="10"/>
      <c r="C194" s="12"/>
      <c r="D194" s="17"/>
      <c r="E194" s="13"/>
      <c r="F194" s="21"/>
      <c r="G194" s="12"/>
      <c r="H194" s="12"/>
      <c r="I194" s="12"/>
      <c r="J194" s="12"/>
      <c r="K194" s="12"/>
      <c r="L194" s="12"/>
      <c r="M194" s="15"/>
      <c r="N194" s="15"/>
      <c r="O194" s="12"/>
      <c r="P194" s="17"/>
      <c r="Q194" s="22" t="str">
        <f aca="false">IF(OR($G194="",Setup!$B$5=""),"",Setup!$B$5/$G194)</f>
        <v/>
      </c>
      <c r="R194" s="23" t="str">
        <f aca="false">IF(OR($E194="",$Q194=""),"",1-(1-$E194)^$Q194)</f>
        <v/>
      </c>
      <c r="S194" s="22" t="str">
        <f aca="false">IF(OR($R194="",$H194=""),"",$H194*$R194)</f>
        <v/>
      </c>
      <c r="T194" s="23" t="str">
        <f aca="false">IF(OR($E194="",$I194=""),"",MIN(1,MIN(N($F194),$E194)+($E194-MIN(N($F194),$E194))*(1-$I194)))</f>
        <v/>
      </c>
      <c r="U194" s="23" t="str">
        <f aca="false">IF(OR($T194="",$Q194=""),"",1-(1-$T194)^$Q194)</f>
        <v/>
      </c>
      <c r="V194" s="23" t="str">
        <f aca="false">IF($M194&lt;&gt;"",$M194,IF($G194="","",MAX(1,(Setup!$B$6/$G194)^Setup!$B$7)))</f>
        <v/>
      </c>
      <c r="W194" s="22" t="str">
        <f aca="false">IF(COUNT($J194:$L194)&lt;3,"",Setup!$B$10*(6-$J194)+Setup!$B$11*$K194+Setup!$B$12*$L194)</f>
        <v/>
      </c>
      <c r="X194" s="23" t="str">
        <f aca="false">IF($W194="","",IF(LEFT(Setup!$B$15,1)="B",EXP(Setup!$B$14*($W194-1)),1+Setup!$B$14*($W194-1)))</f>
        <v/>
      </c>
      <c r="Y194" s="23" t="str">
        <f aca="false">IF($N194&lt;&gt;"",$N194,$X194)</f>
        <v/>
      </c>
      <c r="Z194" s="22" t="str">
        <f aca="false">IF(OR($H194="",$U194="",$V194=""),"",$H194*$U194*$V194)</f>
        <v/>
      </c>
      <c r="AA194" s="22" t="str">
        <f aca="false">IF(OR($Z194="",$Y194=""),"",$Z194*$Y194)</f>
        <v/>
      </c>
      <c r="AB194" s="1" t="str">
        <f aca="false">IF($A194="","",IF(OR($E194="",$G194="",$H194="",$I194="",AND($N194="",COUNT($J194:$L194)&lt;3)),"Missing: "&amp;IF($E194="","P ","")&amp;IF($G194="","T ","")&amp;IF($H194="","I ","")&amp;IF($I194="","C ","")&amp;IF(AND($N194="",COUNT($J194:$L194)&lt;3),"C_ctrl/C_ext/C_irr",""),IF(N($F194)&gt;$E194,"P_floor &gt; P (floor capped at P)","OK")))</f>
        <v/>
      </c>
      <c r="AC194" s="1" t="str">
        <f aca="false">IF($AA194="","",$AA194+ROW()/1000000)</f>
        <v/>
      </c>
      <c r="AD194" s="18" t="n">
        <f aca="false">IF(AND($A194&lt;&gt;"",ISNUMBER($AA194)),1,0)</f>
        <v>0</v>
      </c>
      <c r="AE194" s="18" t="n">
        <f aca="false">IF($AD194=1,$H194,0)</f>
        <v>0</v>
      </c>
      <c r="AF194" s="18" t="n">
        <f aca="false">IF($AD194=1,$E194,0)</f>
        <v>0</v>
      </c>
      <c r="AG194" s="18" t="n">
        <f aca="false">IF($AD194=1,MIN(N($F194),$E194),0)</f>
        <v>0</v>
      </c>
      <c r="AH194" s="18" t="n">
        <f aca="false">IF($AD194=1,$I194,0)</f>
        <v>0</v>
      </c>
      <c r="AI194" s="18" t="n">
        <f aca="false">IF($AD194=1,$G194,1)</f>
        <v>1</v>
      </c>
      <c r="AJ194" s="18" t="n">
        <f aca="false">IF($AD194=1,$V194,1)</f>
        <v>1</v>
      </c>
      <c r="AK194" s="18" t="n">
        <f aca="false">IF($AD194=1,$Y194,1)</f>
        <v>1</v>
      </c>
    </row>
    <row r="195" customFormat="false" ht="15" hidden="false" customHeight="false" outlineLevel="0" collapsed="false">
      <c r="A195" s="10"/>
      <c r="B195" s="10"/>
      <c r="C195" s="12"/>
      <c r="D195" s="17"/>
      <c r="E195" s="13"/>
      <c r="F195" s="21"/>
      <c r="G195" s="12"/>
      <c r="H195" s="12"/>
      <c r="I195" s="12"/>
      <c r="J195" s="12"/>
      <c r="K195" s="12"/>
      <c r="L195" s="12"/>
      <c r="M195" s="15"/>
      <c r="N195" s="15"/>
      <c r="O195" s="12"/>
      <c r="P195" s="17"/>
      <c r="Q195" s="22" t="str">
        <f aca="false">IF(OR($G195="",Setup!$B$5=""),"",Setup!$B$5/$G195)</f>
        <v/>
      </c>
      <c r="R195" s="23" t="str">
        <f aca="false">IF(OR($E195="",$Q195=""),"",1-(1-$E195)^$Q195)</f>
        <v/>
      </c>
      <c r="S195" s="22" t="str">
        <f aca="false">IF(OR($R195="",$H195=""),"",$H195*$R195)</f>
        <v/>
      </c>
      <c r="T195" s="23" t="str">
        <f aca="false">IF(OR($E195="",$I195=""),"",MIN(1,MIN(N($F195),$E195)+($E195-MIN(N($F195),$E195))*(1-$I195)))</f>
        <v/>
      </c>
      <c r="U195" s="23" t="str">
        <f aca="false">IF(OR($T195="",$Q195=""),"",1-(1-$T195)^$Q195)</f>
        <v/>
      </c>
      <c r="V195" s="23" t="str">
        <f aca="false">IF($M195&lt;&gt;"",$M195,IF($G195="","",MAX(1,(Setup!$B$6/$G195)^Setup!$B$7)))</f>
        <v/>
      </c>
      <c r="W195" s="22" t="str">
        <f aca="false">IF(COUNT($J195:$L195)&lt;3,"",Setup!$B$10*(6-$J195)+Setup!$B$11*$K195+Setup!$B$12*$L195)</f>
        <v/>
      </c>
      <c r="X195" s="23" t="str">
        <f aca="false">IF($W195="","",IF(LEFT(Setup!$B$15,1)="B",EXP(Setup!$B$14*($W195-1)),1+Setup!$B$14*($W195-1)))</f>
        <v/>
      </c>
      <c r="Y195" s="23" t="str">
        <f aca="false">IF($N195&lt;&gt;"",$N195,$X195)</f>
        <v/>
      </c>
      <c r="Z195" s="22" t="str">
        <f aca="false">IF(OR($H195="",$U195="",$V195=""),"",$H195*$U195*$V195)</f>
        <v/>
      </c>
      <c r="AA195" s="22" t="str">
        <f aca="false">IF(OR($Z195="",$Y195=""),"",$Z195*$Y195)</f>
        <v/>
      </c>
      <c r="AB195" s="1" t="str">
        <f aca="false">IF($A195="","",IF(OR($E195="",$G195="",$H195="",$I195="",AND($N195="",COUNT($J195:$L195)&lt;3)),"Missing: "&amp;IF($E195="","P ","")&amp;IF($G195="","T ","")&amp;IF($H195="","I ","")&amp;IF($I195="","C ","")&amp;IF(AND($N195="",COUNT($J195:$L195)&lt;3),"C_ctrl/C_ext/C_irr",""),IF(N($F195)&gt;$E195,"P_floor &gt; P (floor capped at P)","OK")))</f>
        <v/>
      </c>
      <c r="AC195" s="1" t="str">
        <f aca="false">IF($AA195="","",$AA195+ROW()/1000000)</f>
        <v/>
      </c>
      <c r="AD195" s="18" t="n">
        <f aca="false">IF(AND($A195&lt;&gt;"",ISNUMBER($AA195)),1,0)</f>
        <v>0</v>
      </c>
      <c r="AE195" s="18" t="n">
        <f aca="false">IF($AD195=1,$H195,0)</f>
        <v>0</v>
      </c>
      <c r="AF195" s="18" t="n">
        <f aca="false">IF($AD195=1,$E195,0)</f>
        <v>0</v>
      </c>
      <c r="AG195" s="18" t="n">
        <f aca="false">IF($AD195=1,MIN(N($F195),$E195),0)</f>
        <v>0</v>
      </c>
      <c r="AH195" s="18" t="n">
        <f aca="false">IF($AD195=1,$I195,0)</f>
        <v>0</v>
      </c>
      <c r="AI195" s="18" t="n">
        <f aca="false">IF($AD195=1,$G195,1)</f>
        <v>1</v>
      </c>
      <c r="AJ195" s="18" t="n">
        <f aca="false">IF($AD195=1,$V195,1)</f>
        <v>1</v>
      </c>
      <c r="AK195" s="18" t="n">
        <f aca="false">IF($AD195=1,$Y195,1)</f>
        <v>1</v>
      </c>
    </row>
    <row r="196" customFormat="false" ht="15" hidden="false" customHeight="false" outlineLevel="0" collapsed="false">
      <c r="A196" s="10"/>
      <c r="B196" s="10"/>
      <c r="C196" s="12"/>
      <c r="D196" s="17"/>
      <c r="E196" s="13"/>
      <c r="F196" s="21"/>
      <c r="G196" s="12"/>
      <c r="H196" s="12"/>
      <c r="I196" s="12"/>
      <c r="J196" s="12"/>
      <c r="K196" s="12"/>
      <c r="L196" s="12"/>
      <c r="M196" s="15"/>
      <c r="N196" s="15"/>
      <c r="O196" s="12"/>
      <c r="P196" s="17"/>
      <c r="Q196" s="22" t="str">
        <f aca="false">IF(OR($G196="",Setup!$B$5=""),"",Setup!$B$5/$G196)</f>
        <v/>
      </c>
      <c r="R196" s="23" t="str">
        <f aca="false">IF(OR($E196="",$Q196=""),"",1-(1-$E196)^$Q196)</f>
        <v/>
      </c>
      <c r="S196" s="22" t="str">
        <f aca="false">IF(OR($R196="",$H196=""),"",$H196*$R196)</f>
        <v/>
      </c>
      <c r="T196" s="23" t="str">
        <f aca="false">IF(OR($E196="",$I196=""),"",MIN(1,MIN(N($F196),$E196)+($E196-MIN(N($F196),$E196))*(1-$I196)))</f>
        <v/>
      </c>
      <c r="U196" s="23" t="str">
        <f aca="false">IF(OR($T196="",$Q196=""),"",1-(1-$T196)^$Q196)</f>
        <v/>
      </c>
      <c r="V196" s="23" t="str">
        <f aca="false">IF($M196&lt;&gt;"",$M196,IF($G196="","",MAX(1,(Setup!$B$6/$G196)^Setup!$B$7)))</f>
        <v/>
      </c>
      <c r="W196" s="22" t="str">
        <f aca="false">IF(COUNT($J196:$L196)&lt;3,"",Setup!$B$10*(6-$J196)+Setup!$B$11*$K196+Setup!$B$12*$L196)</f>
        <v/>
      </c>
      <c r="X196" s="23" t="str">
        <f aca="false">IF($W196="","",IF(LEFT(Setup!$B$15,1)="B",EXP(Setup!$B$14*($W196-1)),1+Setup!$B$14*($W196-1)))</f>
        <v/>
      </c>
      <c r="Y196" s="23" t="str">
        <f aca="false">IF($N196&lt;&gt;"",$N196,$X196)</f>
        <v/>
      </c>
      <c r="Z196" s="22" t="str">
        <f aca="false">IF(OR($H196="",$U196="",$V196=""),"",$H196*$U196*$V196)</f>
        <v/>
      </c>
      <c r="AA196" s="22" t="str">
        <f aca="false">IF(OR($Z196="",$Y196=""),"",$Z196*$Y196)</f>
        <v/>
      </c>
      <c r="AB196" s="1" t="str">
        <f aca="false">IF($A196="","",IF(OR($E196="",$G196="",$H196="",$I196="",AND($N196="",COUNT($J196:$L196)&lt;3)),"Missing: "&amp;IF($E196="","P ","")&amp;IF($G196="","T ","")&amp;IF($H196="","I ","")&amp;IF($I196="","C ","")&amp;IF(AND($N196="",COUNT($J196:$L196)&lt;3),"C_ctrl/C_ext/C_irr",""),IF(N($F196)&gt;$E196,"P_floor &gt; P (floor capped at P)","OK")))</f>
        <v/>
      </c>
      <c r="AC196" s="1" t="str">
        <f aca="false">IF($AA196="","",$AA196+ROW()/1000000)</f>
        <v/>
      </c>
      <c r="AD196" s="18" t="n">
        <f aca="false">IF(AND($A196&lt;&gt;"",ISNUMBER($AA196)),1,0)</f>
        <v>0</v>
      </c>
      <c r="AE196" s="18" t="n">
        <f aca="false">IF($AD196=1,$H196,0)</f>
        <v>0</v>
      </c>
      <c r="AF196" s="18" t="n">
        <f aca="false">IF($AD196=1,$E196,0)</f>
        <v>0</v>
      </c>
      <c r="AG196" s="18" t="n">
        <f aca="false">IF($AD196=1,MIN(N($F196),$E196),0)</f>
        <v>0</v>
      </c>
      <c r="AH196" s="18" t="n">
        <f aca="false">IF($AD196=1,$I196,0)</f>
        <v>0</v>
      </c>
      <c r="AI196" s="18" t="n">
        <f aca="false">IF($AD196=1,$G196,1)</f>
        <v>1</v>
      </c>
      <c r="AJ196" s="18" t="n">
        <f aca="false">IF($AD196=1,$V196,1)</f>
        <v>1</v>
      </c>
      <c r="AK196" s="18" t="n">
        <f aca="false">IF($AD196=1,$Y196,1)</f>
        <v>1</v>
      </c>
    </row>
    <row r="197" customFormat="false" ht="15" hidden="false" customHeight="false" outlineLevel="0" collapsed="false">
      <c r="A197" s="10"/>
      <c r="B197" s="10"/>
      <c r="C197" s="12"/>
      <c r="D197" s="17"/>
      <c r="E197" s="13"/>
      <c r="F197" s="21"/>
      <c r="G197" s="12"/>
      <c r="H197" s="12"/>
      <c r="I197" s="12"/>
      <c r="J197" s="12"/>
      <c r="K197" s="12"/>
      <c r="L197" s="12"/>
      <c r="M197" s="15"/>
      <c r="N197" s="15"/>
      <c r="O197" s="12"/>
      <c r="P197" s="17"/>
      <c r="Q197" s="22" t="str">
        <f aca="false">IF(OR($G197="",Setup!$B$5=""),"",Setup!$B$5/$G197)</f>
        <v/>
      </c>
      <c r="R197" s="23" t="str">
        <f aca="false">IF(OR($E197="",$Q197=""),"",1-(1-$E197)^$Q197)</f>
        <v/>
      </c>
      <c r="S197" s="22" t="str">
        <f aca="false">IF(OR($R197="",$H197=""),"",$H197*$R197)</f>
        <v/>
      </c>
      <c r="T197" s="23" t="str">
        <f aca="false">IF(OR($E197="",$I197=""),"",MIN(1,MIN(N($F197),$E197)+($E197-MIN(N($F197),$E197))*(1-$I197)))</f>
        <v/>
      </c>
      <c r="U197" s="23" t="str">
        <f aca="false">IF(OR($T197="",$Q197=""),"",1-(1-$T197)^$Q197)</f>
        <v/>
      </c>
      <c r="V197" s="23" t="str">
        <f aca="false">IF($M197&lt;&gt;"",$M197,IF($G197="","",MAX(1,(Setup!$B$6/$G197)^Setup!$B$7)))</f>
        <v/>
      </c>
      <c r="W197" s="22" t="str">
        <f aca="false">IF(COUNT($J197:$L197)&lt;3,"",Setup!$B$10*(6-$J197)+Setup!$B$11*$K197+Setup!$B$12*$L197)</f>
        <v/>
      </c>
      <c r="X197" s="23" t="str">
        <f aca="false">IF($W197="","",IF(LEFT(Setup!$B$15,1)="B",EXP(Setup!$B$14*($W197-1)),1+Setup!$B$14*($W197-1)))</f>
        <v/>
      </c>
      <c r="Y197" s="23" t="str">
        <f aca="false">IF($N197&lt;&gt;"",$N197,$X197)</f>
        <v/>
      </c>
      <c r="Z197" s="22" t="str">
        <f aca="false">IF(OR($H197="",$U197="",$V197=""),"",$H197*$U197*$V197)</f>
        <v/>
      </c>
      <c r="AA197" s="22" t="str">
        <f aca="false">IF(OR($Z197="",$Y197=""),"",$Z197*$Y197)</f>
        <v/>
      </c>
      <c r="AB197" s="1" t="str">
        <f aca="false">IF($A197="","",IF(OR($E197="",$G197="",$H197="",$I197="",AND($N197="",COUNT($J197:$L197)&lt;3)),"Missing: "&amp;IF($E197="","P ","")&amp;IF($G197="","T ","")&amp;IF($H197="","I ","")&amp;IF($I197="","C ","")&amp;IF(AND($N197="",COUNT($J197:$L197)&lt;3),"C_ctrl/C_ext/C_irr",""),IF(N($F197)&gt;$E197,"P_floor &gt; P (floor capped at P)","OK")))</f>
        <v/>
      </c>
      <c r="AC197" s="1" t="str">
        <f aca="false">IF($AA197="","",$AA197+ROW()/1000000)</f>
        <v/>
      </c>
      <c r="AD197" s="18" t="n">
        <f aca="false">IF(AND($A197&lt;&gt;"",ISNUMBER($AA197)),1,0)</f>
        <v>0</v>
      </c>
      <c r="AE197" s="18" t="n">
        <f aca="false">IF($AD197=1,$H197,0)</f>
        <v>0</v>
      </c>
      <c r="AF197" s="18" t="n">
        <f aca="false">IF($AD197=1,$E197,0)</f>
        <v>0</v>
      </c>
      <c r="AG197" s="18" t="n">
        <f aca="false">IF($AD197=1,MIN(N($F197),$E197),0)</f>
        <v>0</v>
      </c>
      <c r="AH197" s="18" t="n">
        <f aca="false">IF($AD197=1,$I197,0)</f>
        <v>0</v>
      </c>
      <c r="AI197" s="18" t="n">
        <f aca="false">IF($AD197=1,$G197,1)</f>
        <v>1</v>
      </c>
      <c r="AJ197" s="18" t="n">
        <f aca="false">IF($AD197=1,$V197,1)</f>
        <v>1</v>
      </c>
      <c r="AK197" s="18" t="n">
        <f aca="false">IF($AD197=1,$Y197,1)</f>
        <v>1</v>
      </c>
    </row>
    <row r="198" customFormat="false" ht="15" hidden="false" customHeight="false" outlineLevel="0" collapsed="false">
      <c r="A198" s="10"/>
      <c r="B198" s="10"/>
      <c r="C198" s="12"/>
      <c r="D198" s="17"/>
      <c r="E198" s="13"/>
      <c r="F198" s="21"/>
      <c r="G198" s="12"/>
      <c r="H198" s="12"/>
      <c r="I198" s="12"/>
      <c r="J198" s="12"/>
      <c r="K198" s="12"/>
      <c r="L198" s="12"/>
      <c r="M198" s="15"/>
      <c r="N198" s="15"/>
      <c r="O198" s="12"/>
      <c r="P198" s="17"/>
      <c r="Q198" s="22" t="str">
        <f aca="false">IF(OR($G198="",Setup!$B$5=""),"",Setup!$B$5/$G198)</f>
        <v/>
      </c>
      <c r="R198" s="23" t="str">
        <f aca="false">IF(OR($E198="",$Q198=""),"",1-(1-$E198)^$Q198)</f>
        <v/>
      </c>
      <c r="S198" s="22" t="str">
        <f aca="false">IF(OR($R198="",$H198=""),"",$H198*$R198)</f>
        <v/>
      </c>
      <c r="T198" s="23" t="str">
        <f aca="false">IF(OR($E198="",$I198=""),"",MIN(1,MIN(N($F198),$E198)+($E198-MIN(N($F198),$E198))*(1-$I198)))</f>
        <v/>
      </c>
      <c r="U198" s="23" t="str">
        <f aca="false">IF(OR($T198="",$Q198=""),"",1-(1-$T198)^$Q198)</f>
        <v/>
      </c>
      <c r="V198" s="23" t="str">
        <f aca="false">IF($M198&lt;&gt;"",$M198,IF($G198="","",MAX(1,(Setup!$B$6/$G198)^Setup!$B$7)))</f>
        <v/>
      </c>
      <c r="W198" s="22" t="str">
        <f aca="false">IF(COUNT($J198:$L198)&lt;3,"",Setup!$B$10*(6-$J198)+Setup!$B$11*$K198+Setup!$B$12*$L198)</f>
        <v/>
      </c>
      <c r="X198" s="23" t="str">
        <f aca="false">IF($W198="","",IF(LEFT(Setup!$B$15,1)="B",EXP(Setup!$B$14*($W198-1)),1+Setup!$B$14*($W198-1)))</f>
        <v/>
      </c>
      <c r="Y198" s="23" t="str">
        <f aca="false">IF($N198&lt;&gt;"",$N198,$X198)</f>
        <v/>
      </c>
      <c r="Z198" s="22" t="str">
        <f aca="false">IF(OR($H198="",$U198="",$V198=""),"",$H198*$U198*$V198)</f>
        <v/>
      </c>
      <c r="AA198" s="22" t="str">
        <f aca="false">IF(OR($Z198="",$Y198=""),"",$Z198*$Y198)</f>
        <v/>
      </c>
      <c r="AB198" s="1" t="str">
        <f aca="false">IF($A198="","",IF(OR($E198="",$G198="",$H198="",$I198="",AND($N198="",COUNT($J198:$L198)&lt;3)),"Missing: "&amp;IF($E198="","P ","")&amp;IF($G198="","T ","")&amp;IF($H198="","I ","")&amp;IF($I198="","C ","")&amp;IF(AND($N198="",COUNT($J198:$L198)&lt;3),"C_ctrl/C_ext/C_irr",""),IF(N($F198)&gt;$E198,"P_floor &gt; P (floor capped at P)","OK")))</f>
        <v/>
      </c>
      <c r="AC198" s="1" t="str">
        <f aca="false">IF($AA198="","",$AA198+ROW()/1000000)</f>
        <v/>
      </c>
      <c r="AD198" s="18" t="n">
        <f aca="false">IF(AND($A198&lt;&gt;"",ISNUMBER($AA198)),1,0)</f>
        <v>0</v>
      </c>
      <c r="AE198" s="18" t="n">
        <f aca="false">IF($AD198=1,$H198,0)</f>
        <v>0</v>
      </c>
      <c r="AF198" s="18" t="n">
        <f aca="false">IF($AD198=1,$E198,0)</f>
        <v>0</v>
      </c>
      <c r="AG198" s="18" t="n">
        <f aca="false">IF($AD198=1,MIN(N($F198),$E198),0)</f>
        <v>0</v>
      </c>
      <c r="AH198" s="18" t="n">
        <f aca="false">IF($AD198=1,$I198,0)</f>
        <v>0</v>
      </c>
      <c r="AI198" s="18" t="n">
        <f aca="false">IF($AD198=1,$G198,1)</f>
        <v>1</v>
      </c>
      <c r="AJ198" s="18" t="n">
        <f aca="false">IF($AD198=1,$V198,1)</f>
        <v>1</v>
      </c>
      <c r="AK198" s="18" t="n">
        <f aca="false">IF($AD198=1,$Y198,1)</f>
        <v>1</v>
      </c>
    </row>
    <row r="199" customFormat="false" ht="15" hidden="false" customHeight="false" outlineLevel="0" collapsed="false">
      <c r="A199" s="10"/>
      <c r="B199" s="10"/>
      <c r="C199" s="12"/>
      <c r="D199" s="17"/>
      <c r="E199" s="13"/>
      <c r="F199" s="21"/>
      <c r="G199" s="12"/>
      <c r="H199" s="12"/>
      <c r="I199" s="12"/>
      <c r="J199" s="12"/>
      <c r="K199" s="12"/>
      <c r="L199" s="12"/>
      <c r="M199" s="15"/>
      <c r="N199" s="15"/>
      <c r="O199" s="12"/>
      <c r="P199" s="17"/>
      <c r="Q199" s="22" t="str">
        <f aca="false">IF(OR($G199="",Setup!$B$5=""),"",Setup!$B$5/$G199)</f>
        <v/>
      </c>
      <c r="R199" s="23" t="str">
        <f aca="false">IF(OR($E199="",$Q199=""),"",1-(1-$E199)^$Q199)</f>
        <v/>
      </c>
      <c r="S199" s="22" t="str">
        <f aca="false">IF(OR($R199="",$H199=""),"",$H199*$R199)</f>
        <v/>
      </c>
      <c r="T199" s="23" t="str">
        <f aca="false">IF(OR($E199="",$I199=""),"",MIN(1,MIN(N($F199),$E199)+($E199-MIN(N($F199),$E199))*(1-$I199)))</f>
        <v/>
      </c>
      <c r="U199" s="23" t="str">
        <f aca="false">IF(OR($T199="",$Q199=""),"",1-(1-$T199)^$Q199)</f>
        <v/>
      </c>
      <c r="V199" s="23" t="str">
        <f aca="false">IF($M199&lt;&gt;"",$M199,IF($G199="","",MAX(1,(Setup!$B$6/$G199)^Setup!$B$7)))</f>
        <v/>
      </c>
      <c r="W199" s="22" t="str">
        <f aca="false">IF(COUNT($J199:$L199)&lt;3,"",Setup!$B$10*(6-$J199)+Setup!$B$11*$K199+Setup!$B$12*$L199)</f>
        <v/>
      </c>
      <c r="X199" s="23" t="str">
        <f aca="false">IF($W199="","",IF(LEFT(Setup!$B$15,1)="B",EXP(Setup!$B$14*($W199-1)),1+Setup!$B$14*($W199-1)))</f>
        <v/>
      </c>
      <c r="Y199" s="23" t="str">
        <f aca="false">IF($N199&lt;&gt;"",$N199,$X199)</f>
        <v/>
      </c>
      <c r="Z199" s="22" t="str">
        <f aca="false">IF(OR($H199="",$U199="",$V199=""),"",$H199*$U199*$V199)</f>
        <v/>
      </c>
      <c r="AA199" s="22" t="str">
        <f aca="false">IF(OR($Z199="",$Y199=""),"",$Z199*$Y199)</f>
        <v/>
      </c>
      <c r="AB199" s="1" t="str">
        <f aca="false">IF($A199="","",IF(OR($E199="",$G199="",$H199="",$I199="",AND($N199="",COUNT($J199:$L199)&lt;3)),"Missing: "&amp;IF($E199="","P ","")&amp;IF($G199="","T ","")&amp;IF($H199="","I ","")&amp;IF($I199="","C ","")&amp;IF(AND($N199="",COUNT($J199:$L199)&lt;3),"C_ctrl/C_ext/C_irr",""),IF(N($F199)&gt;$E199,"P_floor &gt; P (floor capped at P)","OK")))</f>
        <v/>
      </c>
      <c r="AC199" s="1" t="str">
        <f aca="false">IF($AA199="","",$AA199+ROW()/1000000)</f>
        <v/>
      </c>
      <c r="AD199" s="18" t="n">
        <f aca="false">IF(AND($A199&lt;&gt;"",ISNUMBER($AA199)),1,0)</f>
        <v>0</v>
      </c>
      <c r="AE199" s="18" t="n">
        <f aca="false">IF($AD199=1,$H199,0)</f>
        <v>0</v>
      </c>
      <c r="AF199" s="18" t="n">
        <f aca="false">IF($AD199=1,$E199,0)</f>
        <v>0</v>
      </c>
      <c r="AG199" s="18" t="n">
        <f aca="false">IF($AD199=1,MIN(N($F199),$E199),0)</f>
        <v>0</v>
      </c>
      <c r="AH199" s="18" t="n">
        <f aca="false">IF($AD199=1,$I199,0)</f>
        <v>0</v>
      </c>
      <c r="AI199" s="18" t="n">
        <f aca="false">IF($AD199=1,$G199,1)</f>
        <v>1</v>
      </c>
      <c r="AJ199" s="18" t="n">
        <f aca="false">IF($AD199=1,$V199,1)</f>
        <v>1</v>
      </c>
      <c r="AK199" s="18" t="n">
        <f aca="false">IF($AD199=1,$Y199,1)</f>
        <v>1</v>
      </c>
    </row>
    <row r="200" customFormat="false" ht="15" hidden="false" customHeight="false" outlineLevel="0" collapsed="false">
      <c r="A200" s="10"/>
      <c r="B200" s="10"/>
      <c r="C200" s="12"/>
      <c r="D200" s="17"/>
      <c r="E200" s="13"/>
      <c r="F200" s="21"/>
      <c r="G200" s="12"/>
      <c r="H200" s="12"/>
      <c r="I200" s="12"/>
      <c r="J200" s="12"/>
      <c r="K200" s="12"/>
      <c r="L200" s="12"/>
      <c r="M200" s="15"/>
      <c r="N200" s="15"/>
      <c r="O200" s="12"/>
      <c r="P200" s="17"/>
      <c r="Q200" s="22" t="str">
        <f aca="false">IF(OR($G200="",Setup!$B$5=""),"",Setup!$B$5/$G200)</f>
        <v/>
      </c>
      <c r="R200" s="23" t="str">
        <f aca="false">IF(OR($E200="",$Q200=""),"",1-(1-$E200)^$Q200)</f>
        <v/>
      </c>
      <c r="S200" s="22" t="str">
        <f aca="false">IF(OR($R200="",$H200=""),"",$H200*$R200)</f>
        <v/>
      </c>
      <c r="T200" s="23" t="str">
        <f aca="false">IF(OR($E200="",$I200=""),"",MIN(1,MIN(N($F200),$E200)+($E200-MIN(N($F200),$E200))*(1-$I200)))</f>
        <v/>
      </c>
      <c r="U200" s="23" t="str">
        <f aca="false">IF(OR($T200="",$Q200=""),"",1-(1-$T200)^$Q200)</f>
        <v/>
      </c>
      <c r="V200" s="23" t="str">
        <f aca="false">IF($M200&lt;&gt;"",$M200,IF($G200="","",MAX(1,(Setup!$B$6/$G200)^Setup!$B$7)))</f>
        <v/>
      </c>
      <c r="W200" s="22" t="str">
        <f aca="false">IF(COUNT($J200:$L200)&lt;3,"",Setup!$B$10*(6-$J200)+Setup!$B$11*$K200+Setup!$B$12*$L200)</f>
        <v/>
      </c>
      <c r="X200" s="23" t="str">
        <f aca="false">IF($W200="","",IF(LEFT(Setup!$B$15,1)="B",EXP(Setup!$B$14*($W200-1)),1+Setup!$B$14*($W200-1)))</f>
        <v/>
      </c>
      <c r="Y200" s="23" t="str">
        <f aca="false">IF($N200&lt;&gt;"",$N200,$X200)</f>
        <v/>
      </c>
      <c r="Z200" s="22" t="str">
        <f aca="false">IF(OR($H200="",$U200="",$V200=""),"",$H200*$U200*$V200)</f>
        <v/>
      </c>
      <c r="AA200" s="22" t="str">
        <f aca="false">IF(OR($Z200="",$Y200=""),"",$Z200*$Y200)</f>
        <v/>
      </c>
      <c r="AB200" s="1" t="str">
        <f aca="false">IF($A200="","",IF(OR($E200="",$G200="",$H200="",$I200="",AND($N200="",COUNT($J200:$L200)&lt;3)),"Missing: "&amp;IF($E200="","P ","")&amp;IF($G200="","T ","")&amp;IF($H200="","I ","")&amp;IF($I200="","C ","")&amp;IF(AND($N200="",COUNT($J200:$L200)&lt;3),"C_ctrl/C_ext/C_irr",""),IF(N($F200)&gt;$E200,"P_floor &gt; P (floor capped at P)","OK")))</f>
        <v/>
      </c>
      <c r="AC200" s="1" t="str">
        <f aca="false">IF($AA200="","",$AA200+ROW()/1000000)</f>
        <v/>
      </c>
      <c r="AD200" s="18" t="n">
        <f aca="false">IF(AND($A200&lt;&gt;"",ISNUMBER($AA200)),1,0)</f>
        <v>0</v>
      </c>
      <c r="AE200" s="18" t="n">
        <f aca="false">IF($AD200=1,$H200,0)</f>
        <v>0</v>
      </c>
      <c r="AF200" s="18" t="n">
        <f aca="false">IF($AD200=1,$E200,0)</f>
        <v>0</v>
      </c>
      <c r="AG200" s="18" t="n">
        <f aca="false">IF($AD200=1,MIN(N($F200),$E200),0)</f>
        <v>0</v>
      </c>
      <c r="AH200" s="18" t="n">
        <f aca="false">IF($AD200=1,$I200,0)</f>
        <v>0</v>
      </c>
      <c r="AI200" s="18" t="n">
        <f aca="false">IF($AD200=1,$G200,1)</f>
        <v>1</v>
      </c>
      <c r="AJ200" s="18" t="n">
        <f aca="false">IF($AD200=1,$V200,1)</f>
        <v>1</v>
      </c>
      <c r="AK200" s="18" t="n">
        <f aca="false">IF($AD200=1,$Y200,1)</f>
        <v>1</v>
      </c>
    </row>
    <row r="201" customFormat="false" ht="15" hidden="false" customHeight="false" outlineLevel="0" collapsed="false">
      <c r="A201" s="10"/>
      <c r="B201" s="10"/>
      <c r="C201" s="12"/>
      <c r="D201" s="17"/>
      <c r="E201" s="13"/>
      <c r="F201" s="21"/>
      <c r="G201" s="12"/>
      <c r="H201" s="12"/>
      <c r="I201" s="12"/>
      <c r="J201" s="12"/>
      <c r="K201" s="12"/>
      <c r="L201" s="12"/>
      <c r="M201" s="15"/>
      <c r="N201" s="15"/>
      <c r="O201" s="12"/>
      <c r="P201" s="17"/>
      <c r="Q201" s="22" t="str">
        <f aca="false">IF(OR($G201="",Setup!$B$5=""),"",Setup!$B$5/$G201)</f>
        <v/>
      </c>
      <c r="R201" s="23" t="str">
        <f aca="false">IF(OR($E201="",$Q201=""),"",1-(1-$E201)^$Q201)</f>
        <v/>
      </c>
      <c r="S201" s="22" t="str">
        <f aca="false">IF(OR($R201="",$H201=""),"",$H201*$R201)</f>
        <v/>
      </c>
      <c r="T201" s="23" t="str">
        <f aca="false">IF(OR($E201="",$I201=""),"",MIN(1,MIN(N($F201),$E201)+($E201-MIN(N($F201),$E201))*(1-$I201)))</f>
        <v/>
      </c>
      <c r="U201" s="23" t="str">
        <f aca="false">IF(OR($T201="",$Q201=""),"",1-(1-$T201)^$Q201)</f>
        <v/>
      </c>
      <c r="V201" s="23" t="str">
        <f aca="false">IF($M201&lt;&gt;"",$M201,IF($G201="","",MAX(1,(Setup!$B$6/$G201)^Setup!$B$7)))</f>
        <v/>
      </c>
      <c r="W201" s="22" t="str">
        <f aca="false">IF(COUNT($J201:$L201)&lt;3,"",Setup!$B$10*(6-$J201)+Setup!$B$11*$K201+Setup!$B$12*$L201)</f>
        <v/>
      </c>
      <c r="X201" s="23" t="str">
        <f aca="false">IF($W201="","",IF(LEFT(Setup!$B$15,1)="B",EXP(Setup!$B$14*($W201-1)),1+Setup!$B$14*($W201-1)))</f>
        <v/>
      </c>
      <c r="Y201" s="23" t="str">
        <f aca="false">IF($N201&lt;&gt;"",$N201,$X201)</f>
        <v/>
      </c>
      <c r="Z201" s="22" t="str">
        <f aca="false">IF(OR($H201="",$U201="",$V201=""),"",$H201*$U201*$V201)</f>
        <v/>
      </c>
      <c r="AA201" s="22" t="str">
        <f aca="false">IF(OR($Z201="",$Y201=""),"",$Z201*$Y201)</f>
        <v/>
      </c>
      <c r="AB201" s="1" t="str">
        <f aca="false">IF($A201="","",IF(OR($E201="",$G201="",$H201="",$I201="",AND($N201="",COUNT($J201:$L201)&lt;3)),"Missing: "&amp;IF($E201="","P ","")&amp;IF($G201="","T ","")&amp;IF($H201="","I ","")&amp;IF($I201="","C ","")&amp;IF(AND($N201="",COUNT($J201:$L201)&lt;3),"C_ctrl/C_ext/C_irr",""),IF(N($F201)&gt;$E201,"P_floor &gt; P (floor capped at P)","OK")))</f>
        <v/>
      </c>
      <c r="AC201" s="1" t="str">
        <f aca="false">IF($AA201="","",$AA201+ROW()/1000000)</f>
        <v/>
      </c>
      <c r="AD201" s="18" t="n">
        <f aca="false">IF(AND($A201&lt;&gt;"",ISNUMBER($AA201)),1,0)</f>
        <v>0</v>
      </c>
      <c r="AE201" s="18" t="n">
        <f aca="false">IF($AD201=1,$H201,0)</f>
        <v>0</v>
      </c>
      <c r="AF201" s="18" t="n">
        <f aca="false">IF($AD201=1,$E201,0)</f>
        <v>0</v>
      </c>
      <c r="AG201" s="18" t="n">
        <f aca="false">IF($AD201=1,MIN(N($F201),$E201),0)</f>
        <v>0</v>
      </c>
      <c r="AH201" s="18" t="n">
        <f aca="false">IF($AD201=1,$I201,0)</f>
        <v>0</v>
      </c>
      <c r="AI201" s="18" t="n">
        <f aca="false">IF($AD201=1,$G201,1)</f>
        <v>1</v>
      </c>
      <c r="AJ201" s="18" t="n">
        <f aca="false">IF($AD201=1,$V201,1)</f>
        <v>1</v>
      </c>
      <c r="AK201" s="18" t="n">
        <f aca="false">IF($AD201=1,$Y201,1)</f>
        <v>1</v>
      </c>
    </row>
    <row r="202" customFormat="false" ht="15" hidden="false" customHeight="false" outlineLevel="0" collapsed="false">
      <c r="A202" s="10"/>
      <c r="B202" s="10"/>
      <c r="C202" s="12"/>
      <c r="D202" s="17"/>
      <c r="E202" s="13"/>
      <c r="F202" s="21"/>
      <c r="G202" s="12"/>
      <c r="H202" s="12"/>
      <c r="I202" s="12"/>
      <c r="J202" s="12"/>
      <c r="K202" s="12"/>
      <c r="L202" s="12"/>
      <c r="M202" s="15"/>
      <c r="N202" s="15"/>
      <c r="O202" s="12"/>
      <c r="P202" s="17"/>
      <c r="Q202" s="22" t="str">
        <f aca="false">IF(OR($G202="",Setup!$B$5=""),"",Setup!$B$5/$G202)</f>
        <v/>
      </c>
      <c r="R202" s="23" t="str">
        <f aca="false">IF(OR($E202="",$Q202=""),"",1-(1-$E202)^$Q202)</f>
        <v/>
      </c>
      <c r="S202" s="22" t="str">
        <f aca="false">IF(OR($R202="",$H202=""),"",$H202*$R202)</f>
        <v/>
      </c>
      <c r="T202" s="23" t="str">
        <f aca="false">IF(OR($E202="",$I202=""),"",MIN(1,MIN(N($F202),$E202)+($E202-MIN(N($F202),$E202))*(1-$I202)))</f>
        <v/>
      </c>
      <c r="U202" s="23" t="str">
        <f aca="false">IF(OR($T202="",$Q202=""),"",1-(1-$T202)^$Q202)</f>
        <v/>
      </c>
      <c r="V202" s="23" t="str">
        <f aca="false">IF($M202&lt;&gt;"",$M202,IF($G202="","",MAX(1,(Setup!$B$6/$G202)^Setup!$B$7)))</f>
        <v/>
      </c>
      <c r="W202" s="22" t="str">
        <f aca="false">IF(COUNT($J202:$L202)&lt;3,"",Setup!$B$10*(6-$J202)+Setup!$B$11*$K202+Setup!$B$12*$L202)</f>
        <v/>
      </c>
      <c r="X202" s="23" t="str">
        <f aca="false">IF($W202="","",IF(LEFT(Setup!$B$15,1)="B",EXP(Setup!$B$14*($W202-1)),1+Setup!$B$14*($W202-1)))</f>
        <v/>
      </c>
      <c r="Y202" s="23" t="str">
        <f aca="false">IF($N202&lt;&gt;"",$N202,$X202)</f>
        <v/>
      </c>
      <c r="Z202" s="22" t="str">
        <f aca="false">IF(OR($H202="",$U202="",$V202=""),"",$H202*$U202*$V202)</f>
        <v/>
      </c>
      <c r="AA202" s="22" t="str">
        <f aca="false">IF(OR($Z202="",$Y202=""),"",$Z202*$Y202)</f>
        <v/>
      </c>
      <c r="AB202" s="1" t="str">
        <f aca="false">IF($A202="","",IF(OR($E202="",$G202="",$H202="",$I202="",AND($N202="",COUNT($J202:$L202)&lt;3)),"Missing: "&amp;IF($E202="","P ","")&amp;IF($G202="","T ","")&amp;IF($H202="","I ","")&amp;IF($I202="","C ","")&amp;IF(AND($N202="",COUNT($J202:$L202)&lt;3),"C_ctrl/C_ext/C_irr",""),IF(N($F202)&gt;$E202,"P_floor &gt; P (floor capped at P)","OK")))</f>
        <v/>
      </c>
      <c r="AC202" s="1" t="str">
        <f aca="false">IF($AA202="","",$AA202+ROW()/1000000)</f>
        <v/>
      </c>
      <c r="AD202" s="18" t="n">
        <f aca="false">IF(AND($A202&lt;&gt;"",ISNUMBER($AA202)),1,0)</f>
        <v>0</v>
      </c>
      <c r="AE202" s="18" t="n">
        <f aca="false">IF($AD202=1,$H202,0)</f>
        <v>0</v>
      </c>
      <c r="AF202" s="18" t="n">
        <f aca="false">IF($AD202=1,$E202,0)</f>
        <v>0</v>
      </c>
      <c r="AG202" s="18" t="n">
        <f aca="false">IF($AD202=1,MIN(N($F202),$E202),0)</f>
        <v>0</v>
      </c>
      <c r="AH202" s="18" t="n">
        <f aca="false">IF($AD202=1,$I202,0)</f>
        <v>0</v>
      </c>
      <c r="AI202" s="18" t="n">
        <f aca="false">IF($AD202=1,$G202,1)</f>
        <v>1</v>
      </c>
      <c r="AJ202" s="18" t="n">
        <f aca="false">IF($AD202=1,$V202,1)</f>
        <v>1</v>
      </c>
      <c r="AK202" s="18" t="n">
        <f aca="false">IF($AD202=1,$Y202,1)</f>
        <v>1</v>
      </c>
    </row>
    <row r="203" customFormat="false" ht="15" hidden="false" customHeight="false" outlineLevel="0" collapsed="false">
      <c r="A203" s="10"/>
      <c r="B203" s="10"/>
      <c r="C203" s="12"/>
      <c r="D203" s="17"/>
      <c r="E203" s="13"/>
      <c r="F203" s="21"/>
      <c r="G203" s="12"/>
      <c r="H203" s="12"/>
      <c r="I203" s="12"/>
      <c r="J203" s="12"/>
      <c r="K203" s="12"/>
      <c r="L203" s="12"/>
      <c r="M203" s="15"/>
      <c r="N203" s="15"/>
      <c r="O203" s="12"/>
      <c r="P203" s="17"/>
      <c r="Q203" s="22" t="str">
        <f aca="false">IF(OR($G203="",Setup!$B$5=""),"",Setup!$B$5/$G203)</f>
        <v/>
      </c>
      <c r="R203" s="23" t="str">
        <f aca="false">IF(OR($E203="",$Q203=""),"",1-(1-$E203)^$Q203)</f>
        <v/>
      </c>
      <c r="S203" s="22" t="str">
        <f aca="false">IF(OR($R203="",$H203=""),"",$H203*$R203)</f>
        <v/>
      </c>
      <c r="T203" s="23" t="str">
        <f aca="false">IF(OR($E203="",$I203=""),"",MIN(1,MIN(N($F203),$E203)+($E203-MIN(N($F203),$E203))*(1-$I203)))</f>
        <v/>
      </c>
      <c r="U203" s="23" t="str">
        <f aca="false">IF(OR($T203="",$Q203=""),"",1-(1-$T203)^$Q203)</f>
        <v/>
      </c>
      <c r="V203" s="23" t="str">
        <f aca="false">IF($M203&lt;&gt;"",$M203,IF($G203="","",MAX(1,(Setup!$B$6/$G203)^Setup!$B$7)))</f>
        <v/>
      </c>
      <c r="W203" s="22" t="str">
        <f aca="false">IF(COUNT($J203:$L203)&lt;3,"",Setup!$B$10*(6-$J203)+Setup!$B$11*$K203+Setup!$B$12*$L203)</f>
        <v/>
      </c>
      <c r="X203" s="23" t="str">
        <f aca="false">IF($W203="","",IF(LEFT(Setup!$B$15,1)="B",EXP(Setup!$B$14*($W203-1)),1+Setup!$B$14*($W203-1)))</f>
        <v/>
      </c>
      <c r="Y203" s="23" t="str">
        <f aca="false">IF($N203&lt;&gt;"",$N203,$X203)</f>
        <v/>
      </c>
      <c r="Z203" s="22" t="str">
        <f aca="false">IF(OR($H203="",$U203="",$V203=""),"",$H203*$U203*$V203)</f>
        <v/>
      </c>
      <c r="AA203" s="22" t="str">
        <f aca="false">IF(OR($Z203="",$Y203=""),"",$Z203*$Y203)</f>
        <v/>
      </c>
      <c r="AB203" s="1" t="str">
        <f aca="false">IF($A203="","",IF(OR($E203="",$G203="",$H203="",$I203="",AND($N203="",COUNT($J203:$L203)&lt;3)),"Missing: "&amp;IF($E203="","P ","")&amp;IF($G203="","T ","")&amp;IF($H203="","I ","")&amp;IF($I203="","C ","")&amp;IF(AND($N203="",COUNT($J203:$L203)&lt;3),"C_ctrl/C_ext/C_irr",""),IF(N($F203)&gt;$E203,"P_floor &gt; P (floor capped at P)","OK")))</f>
        <v/>
      </c>
      <c r="AC203" s="1" t="str">
        <f aca="false">IF($AA203="","",$AA203+ROW()/1000000)</f>
        <v/>
      </c>
      <c r="AD203" s="18" t="n">
        <f aca="false">IF(AND($A203&lt;&gt;"",ISNUMBER($AA203)),1,0)</f>
        <v>0</v>
      </c>
      <c r="AE203" s="18" t="n">
        <f aca="false">IF($AD203=1,$H203,0)</f>
        <v>0</v>
      </c>
      <c r="AF203" s="18" t="n">
        <f aca="false">IF($AD203=1,$E203,0)</f>
        <v>0</v>
      </c>
      <c r="AG203" s="18" t="n">
        <f aca="false">IF($AD203=1,MIN(N($F203),$E203),0)</f>
        <v>0</v>
      </c>
      <c r="AH203" s="18" t="n">
        <f aca="false">IF($AD203=1,$I203,0)</f>
        <v>0</v>
      </c>
      <c r="AI203" s="18" t="n">
        <f aca="false">IF($AD203=1,$G203,1)</f>
        <v>1</v>
      </c>
      <c r="AJ203" s="18" t="n">
        <f aca="false">IF($AD203=1,$V203,1)</f>
        <v>1</v>
      </c>
      <c r="AK203" s="18" t="n">
        <f aca="false">IF($AD203=1,$Y203,1)</f>
        <v>1</v>
      </c>
    </row>
    <row r="204" customFormat="false" ht="15" hidden="false" customHeight="false" outlineLevel="0" collapsed="false">
      <c r="A204" s="10"/>
      <c r="B204" s="10"/>
      <c r="C204" s="12"/>
      <c r="D204" s="17"/>
      <c r="E204" s="13"/>
      <c r="F204" s="21"/>
      <c r="G204" s="12"/>
      <c r="H204" s="12"/>
      <c r="I204" s="12"/>
      <c r="J204" s="12"/>
      <c r="K204" s="12"/>
      <c r="L204" s="12"/>
      <c r="M204" s="15"/>
      <c r="N204" s="15"/>
      <c r="O204" s="12"/>
      <c r="P204" s="17"/>
      <c r="Q204" s="22" t="str">
        <f aca="false">IF(OR($G204="",Setup!$B$5=""),"",Setup!$B$5/$G204)</f>
        <v/>
      </c>
      <c r="R204" s="23" t="str">
        <f aca="false">IF(OR($E204="",$Q204=""),"",1-(1-$E204)^$Q204)</f>
        <v/>
      </c>
      <c r="S204" s="22" t="str">
        <f aca="false">IF(OR($R204="",$H204=""),"",$H204*$R204)</f>
        <v/>
      </c>
      <c r="T204" s="23" t="str">
        <f aca="false">IF(OR($E204="",$I204=""),"",MIN(1,MIN(N($F204),$E204)+($E204-MIN(N($F204),$E204))*(1-$I204)))</f>
        <v/>
      </c>
      <c r="U204" s="23" t="str">
        <f aca="false">IF(OR($T204="",$Q204=""),"",1-(1-$T204)^$Q204)</f>
        <v/>
      </c>
      <c r="V204" s="23" t="str">
        <f aca="false">IF($M204&lt;&gt;"",$M204,IF($G204="","",MAX(1,(Setup!$B$6/$G204)^Setup!$B$7)))</f>
        <v/>
      </c>
      <c r="W204" s="22" t="str">
        <f aca="false">IF(COUNT($J204:$L204)&lt;3,"",Setup!$B$10*(6-$J204)+Setup!$B$11*$K204+Setup!$B$12*$L204)</f>
        <v/>
      </c>
      <c r="X204" s="23" t="str">
        <f aca="false">IF($W204="","",IF(LEFT(Setup!$B$15,1)="B",EXP(Setup!$B$14*($W204-1)),1+Setup!$B$14*($W204-1)))</f>
        <v/>
      </c>
      <c r="Y204" s="23" t="str">
        <f aca="false">IF($N204&lt;&gt;"",$N204,$X204)</f>
        <v/>
      </c>
      <c r="Z204" s="22" t="str">
        <f aca="false">IF(OR($H204="",$U204="",$V204=""),"",$H204*$U204*$V204)</f>
        <v/>
      </c>
      <c r="AA204" s="22" t="str">
        <f aca="false">IF(OR($Z204="",$Y204=""),"",$Z204*$Y204)</f>
        <v/>
      </c>
      <c r="AB204" s="1" t="str">
        <f aca="false">IF($A204="","",IF(OR($E204="",$G204="",$H204="",$I204="",AND($N204="",COUNT($J204:$L204)&lt;3)),"Missing: "&amp;IF($E204="","P ","")&amp;IF($G204="","T ","")&amp;IF($H204="","I ","")&amp;IF($I204="","C ","")&amp;IF(AND($N204="",COUNT($J204:$L204)&lt;3),"C_ctrl/C_ext/C_irr",""),IF(N($F204)&gt;$E204,"P_floor &gt; P (floor capped at P)","OK")))</f>
        <v/>
      </c>
      <c r="AC204" s="1" t="str">
        <f aca="false">IF($AA204="","",$AA204+ROW()/1000000)</f>
        <v/>
      </c>
      <c r="AD204" s="18" t="n">
        <f aca="false">IF(AND($A204&lt;&gt;"",ISNUMBER($AA204)),1,0)</f>
        <v>0</v>
      </c>
      <c r="AE204" s="18" t="n">
        <f aca="false">IF($AD204=1,$H204,0)</f>
        <v>0</v>
      </c>
      <c r="AF204" s="18" t="n">
        <f aca="false">IF($AD204=1,$E204,0)</f>
        <v>0</v>
      </c>
      <c r="AG204" s="18" t="n">
        <f aca="false">IF($AD204=1,MIN(N($F204),$E204),0)</f>
        <v>0</v>
      </c>
      <c r="AH204" s="18" t="n">
        <f aca="false">IF($AD204=1,$I204,0)</f>
        <v>0</v>
      </c>
      <c r="AI204" s="18" t="n">
        <f aca="false">IF($AD204=1,$G204,1)</f>
        <v>1</v>
      </c>
      <c r="AJ204" s="18" t="n">
        <f aca="false">IF($AD204=1,$V204,1)</f>
        <v>1</v>
      </c>
      <c r="AK204" s="18" t="n">
        <f aca="false">IF($AD204=1,$Y204,1)</f>
        <v>1</v>
      </c>
    </row>
    <row r="205" customFormat="false" ht="15" hidden="false" customHeight="false" outlineLevel="0" collapsed="false">
      <c r="A205" s="10"/>
      <c r="B205" s="10"/>
      <c r="C205" s="12"/>
      <c r="D205" s="17"/>
      <c r="E205" s="13"/>
      <c r="F205" s="21"/>
      <c r="G205" s="12"/>
      <c r="H205" s="12"/>
      <c r="I205" s="12"/>
      <c r="J205" s="12"/>
      <c r="K205" s="12"/>
      <c r="L205" s="12"/>
      <c r="M205" s="15"/>
      <c r="N205" s="15"/>
      <c r="O205" s="12"/>
      <c r="P205" s="17"/>
      <c r="Q205" s="22" t="str">
        <f aca="false">IF(OR($G205="",Setup!$B$5=""),"",Setup!$B$5/$G205)</f>
        <v/>
      </c>
      <c r="R205" s="23" t="str">
        <f aca="false">IF(OR($E205="",$Q205=""),"",1-(1-$E205)^$Q205)</f>
        <v/>
      </c>
      <c r="S205" s="22" t="str">
        <f aca="false">IF(OR($R205="",$H205=""),"",$H205*$R205)</f>
        <v/>
      </c>
      <c r="T205" s="23" t="str">
        <f aca="false">IF(OR($E205="",$I205=""),"",MIN(1,MIN(N($F205),$E205)+($E205-MIN(N($F205),$E205))*(1-$I205)))</f>
        <v/>
      </c>
      <c r="U205" s="23" t="str">
        <f aca="false">IF(OR($T205="",$Q205=""),"",1-(1-$T205)^$Q205)</f>
        <v/>
      </c>
      <c r="V205" s="23" t="str">
        <f aca="false">IF($M205&lt;&gt;"",$M205,IF($G205="","",MAX(1,(Setup!$B$6/$G205)^Setup!$B$7)))</f>
        <v/>
      </c>
      <c r="W205" s="22" t="str">
        <f aca="false">IF(COUNT($J205:$L205)&lt;3,"",Setup!$B$10*(6-$J205)+Setup!$B$11*$K205+Setup!$B$12*$L205)</f>
        <v/>
      </c>
      <c r="X205" s="23" t="str">
        <f aca="false">IF($W205="","",IF(LEFT(Setup!$B$15,1)="B",EXP(Setup!$B$14*($W205-1)),1+Setup!$B$14*($W205-1)))</f>
        <v/>
      </c>
      <c r="Y205" s="23" t="str">
        <f aca="false">IF($N205&lt;&gt;"",$N205,$X205)</f>
        <v/>
      </c>
      <c r="Z205" s="22" t="str">
        <f aca="false">IF(OR($H205="",$U205="",$V205=""),"",$H205*$U205*$V205)</f>
        <v/>
      </c>
      <c r="AA205" s="22" t="str">
        <f aca="false">IF(OR($Z205="",$Y205=""),"",$Z205*$Y205)</f>
        <v/>
      </c>
      <c r="AB205" s="1" t="str">
        <f aca="false">IF($A205="","",IF(OR($E205="",$G205="",$H205="",$I205="",AND($N205="",COUNT($J205:$L205)&lt;3)),"Missing: "&amp;IF($E205="","P ","")&amp;IF($G205="","T ","")&amp;IF($H205="","I ","")&amp;IF($I205="","C ","")&amp;IF(AND($N205="",COUNT($J205:$L205)&lt;3),"C_ctrl/C_ext/C_irr",""),IF(N($F205)&gt;$E205,"P_floor &gt; P (floor capped at P)","OK")))</f>
        <v/>
      </c>
      <c r="AC205" s="1" t="str">
        <f aca="false">IF($AA205="","",$AA205+ROW()/1000000)</f>
        <v/>
      </c>
      <c r="AD205" s="18" t="n">
        <f aca="false">IF(AND($A205&lt;&gt;"",ISNUMBER($AA205)),1,0)</f>
        <v>0</v>
      </c>
      <c r="AE205" s="18" t="n">
        <f aca="false">IF($AD205=1,$H205,0)</f>
        <v>0</v>
      </c>
      <c r="AF205" s="18" t="n">
        <f aca="false">IF($AD205=1,$E205,0)</f>
        <v>0</v>
      </c>
      <c r="AG205" s="18" t="n">
        <f aca="false">IF($AD205=1,MIN(N($F205),$E205),0)</f>
        <v>0</v>
      </c>
      <c r="AH205" s="18" t="n">
        <f aca="false">IF($AD205=1,$I205,0)</f>
        <v>0</v>
      </c>
      <c r="AI205" s="18" t="n">
        <f aca="false">IF($AD205=1,$G205,1)</f>
        <v>1</v>
      </c>
      <c r="AJ205" s="18" t="n">
        <f aca="false">IF($AD205=1,$V205,1)</f>
        <v>1</v>
      </c>
      <c r="AK205" s="18" t="n">
        <f aca="false">IF($AD205=1,$Y205,1)</f>
        <v>1</v>
      </c>
    </row>
    <row r="206" customFormat="false" ht="15" hidden="false" customHeight="false" outlineLevel="0" collapsed="false">
      <c r="A206" s="10"/>
      <c r="B206" s="10"/>
      <c r="C206" s="12"/>
      <c r="D206" s="17"/>
      <c r="E206" s="13"/>
      <c r="F206" s="21"/>
      <c r="G206" s="12"/>
      <c r="H206" s="12"/>
      <c r="I206" s="12"/>
      <c r="J206" s="12"/>
      <c r="K206" s="12"/>
      <c r="L206" s="12"/>
      <c r="M206" s="15"/>
      <c r="N206" s="15"/>
      <c r="O206" s="12"/>
      <c r="P206" s="17"/>
      <c r="Q206" s="22" t="str">
        <f aca="false">IF(OR($G206="",Setup!$B$5=""),"",Setup!$B$5/$G206)</f>
        <v/>
      </c>
      <c r="R206" s="23" t="str">
        <f aca="false">IF(OR($E206="",$Q206=""),"",1-(1-$E206)^$Q206)</f>
        <v/>
      </c>
      <c r="S206" s="22" t="str">
        <f aca="false">IF(OR($R206="",$H206=""),"",$H206*$R206)</f>
        <v/>
      </c>
      <c r="T206" s="23" t="str">
        <f aca="false">IF(OR($E206="",$I206=""),"",MIN(1,MIN(N($F206),$E206)+($E206-MIN(N($F206),$E206))*(1-$I206)))</f>
        <v/>
      </c>
      <c r="U206" s="23" t="str">
        <f aca="false">IF(OR($T206="",$Q206=""),"",1-(1-$T206)^$Q206)</f>
        <v/>
      </c>
      <c r="V206" s="23" t="str">
        <f aca="false">IF($M206&lt;&gt;"",$M206,IF($G206="","",MAX(1,(Setup!$B$6/$G206)^Setup!$B$7)))</f>
        <v/>
      </c>
      <c r="W206" s="22" t="str">
        <f aca="false">IF(COUNT($J206:$L206)&lt;3,"",Setup!$B$10*(6-$J206)+Setup!$B$11*$K206+Setup!$B$12*$L206)</f>
        <v/>
      </c>
      <c r="X206" s="23" t="str">
        <f aca="false">IF($W206="","",IF(LEFT(Setup!$B$15,1)="B",EXP(Setup!$B$14*($W206-1)),1+Setup!$B$14*($W206-1)))</f>
        <v/>
      </c>
      <c r="Y206" s="23" t="str">
        <f aca="false">IF($N206&lt;&gt;"",$N206,$X206)</f>
        <v/>
      </c>
      <c r="Z206" s="22" t="str">
        <f aca="false">IF(OR($H206="",$U206="",$V206=""),"",$H206*$U206*$V206)</f>
        <v/>
      </c>
      <c r="AA206" s="22" t="str">
        <f aca="false">IF(OR($Z206="",$Y206=""),"",$Z206*$Y206)</f>
        <v/>
      </c>
      <c r="AB206" s="1" t="str">
        <f aca="false">IF($A206="","",IF(OR($E206="",$G206="",$H206="",$I206="",AND($N206="",COUNT($J206:$L206)&lt;3)),"Missing: "&amp;IF($E206="","P ","")&amp;IF($G206="","T ","")&amp;IF($H206="","I ","")&amp;IF($I206="","C ","")&amp;IF(AND($N206="",COUNT($J206:$L206)&lt;3),"C_ctrl/C_ext/C_irr",""),IF(N($F206)&gt;$E206,"P_floor &gt; P (floor capped at P)","OK")))</f>
        <v/>
      </c>
      <c r="AC206" s="1" t="str">
        <f aca="false">IF($AA206="","",$AA206+ROW()/1000000)</f>
        <v/>
      </c>
      <c r="AD206" s="18" t="n">
        <f aca="false">IF(AND($A206&lt;&gt;"",ISNUMBER($AA206)),1,0)</f>
        <v>0</v>
      </c>
      <c r="AE206" s="18" t="n">
        <f aca="false">IF($AD206=1,$H206,0)</f>
        <v>0</v>
      </c>
      <c r="AF206" s="18" t="n">
        <f aca="false">IF($AD206=1,$E206,0)</f>
        <v>0</v>
      </c>
      <c r="AG206" s="18" t="n">
        <f aca="false">IF($AD206=1,MIN(N($F206),$E206),0)</f>
        <v>0</v>
      </c>
      <c r="AH206" s="18" t="n">
        <f aca="false">IF($AD206=1,$I206,0)</f>
        <v>0</v>
      </c>
      <c r="AI206" s="18" t="n">
        <f aca="false">IF($AD206=1,$G206,1)</f>
        <v>1</v>
      </c>
      <c r="AJ206" s="18" t="n">
        <f aca="false">IF($AD206=1,$V206,1)</f>
        <v>1</v>
      </c>
      <c r="AK206" s="18" t="n">
        <f aca="false">IF($AD206=1,$Y206,1)</f>
        <v>1</v>
      </c>
    </row>
    <row r="207" customFormat="false" ht="15" hidden="false" customHeight="false" outlineLevel="0" collapsed="false">
      <c r="A207" s="10"/>
      <c r="B207" s="10"/>
      <c r="C207" s="12"/>
      <c r="D207" s="17"/>
      <c r="E207" s="13"/>
      <c r="F207" s="21"/>
      <c r="G207" s="12"/>
      <c r="H207" s="12"/>
      <c r="I207" s="12"/>
      <c r="J207" s="12"/>
      <c r="K207" s="12"/>
      <c r="L207" s="12"/>
      <c r="M207" s="15"/>
      <c r="N207" s="15"/>
      <c r="O207" s="12"/>
      <c r="P207" s="17"/>
      <c r="Q207" s="22" t="str">
        <f aca="false">IF(OR($G207="",Setup!$B$5=""),"",Setup!$B$5/$G207)</f>
        <v/>
      </c>
      <c r="R207" s="23" t="str">
        <f aca="false">IF(OR($E207="",$Q207=""),"",1-(1-$E207)^$Q207)</f>
        <v/>
      </c>
      <c r="S207" s="22" t="str">
        <f aca="false">IF(OR($R207="",$H207=""),"",$H207*$R207)</f>
        <v/>
      </c>
      <c r="T207" s="23" t="str">
        <f aca="false">IF(OR($E207="",$I207=""),"",MIN(1,MIN(N($F207),$E207)+($E207-MIN(N($F207),$E207))*(1-$I207)))</f>
        <v/>
      </c>
      <c r="U207" s="23" t="str">
        <f aca="false">IF(OR($T207="",$Q207=""),"",1-(1-$T207)^$Q207)</f>
        <v/>
      </c>
      <c r="V207" s="23" t="str">
        <f aca="false">IF($M207&lt;&gt;"",$M207,IF($G207="","",MAX(1,(Setup!$B$6/$G207)^Setup!$B$7)))</f>
        <v/>
      </c>
      <c r="W207" s="22" t="str">
        <f aca="false">IF(COUNT($J207:$L207)&lt;3,"",Setup!$B$10*(6-$J207)+Setup!$B$11*$K207+Setup!$B$12*$L207)</f>
        <v/>
      </c>
      <c r="X207" s="23" t="str">
        <f aca="false">IF($W207="","",IF(LEFT(Setup!$B$15,1)="B",EXP(Setup!$B$14*($W207-1)),1+Setup!$B$14*($W207-1)))</f>
        <v/>
      </c>
      <c r="Y207" s="23" t="str">
        <f aca="false">IF($N207&lt;&gt;"",$N207,$X207)</f>
        <v/>
      </c>
      <c r="Z207" s="22" t="str">
        <f aca="false">IF(OR($H207="",$U207="",$V207=""),"",$H207*$U207*$V207)</f>
        <v/>
      </c>
      <c r="AA207" s="22" t="str">
        <f aca="false">IF(OR($Z207="",$Y207=""),"",$Z207*$Y207)</f>
        <v/>
      </c>
      <c r="AB207" s="1" t="str">
        <f aca="false">IF($A207="","",IF(OR($E207="",$G207="",$H207="",$I207="",AND($N207="",COUNT($J207:$L207)&lt;3)),"Missing: "&amp;IF($E207="","P ","")&amp;IF($G207="","T ","")&amp;IF($H207="","I ","")&amp;IF($I207="","C ","")&amp;IF(AND($N207="",COUNT($J207:$L207)&lt;3),"C_ctrl/C_ext/C_irr",""),IF(N($F207)&gt;$E207,"P_floor &gt; P (floor capped at P)","OK")))</f>
        <v/>
      </c>
      <c r="AC207" s="1" t="str">
        <f aca="false">IF($AA207="","",$AA207+ROW()/1000000)</f>
        <v/>
      </c>
      <c r="AD207" s="18" t="n">
        <f aca="false">IF(AND($A207&lt;&gt;"",ISNUMBER($AA207)),1,0)</f>
        <v>0</v>
      </c>
      <c r="AE207" s="18" t="n">
        <f aca="false">IF($AD207=1,$H207,0)</f>
        <v>0</v>
      </c>
      <c r="AF207" s="18" t="n">
        <f aca="false">IF($AD207=1,$E207,0)</f>
        <v>0</v>
      </c>
      <c r="AG207" s="18" t="n">
        <f aca="false">IF($AD207=1,MIN(N($F207),$E207),0)</f>
        <v>0</v>
      </c>
      <c r="AH207" s="18" t="n">
        <f aca="false">IF($AD207=1,$I207,0)</f>
        <v>0</v>
      </c>
      <c r="AI207" s="18" t="n">
        <f aca="false">IF($AD207=1,$G207,1)</f>
        <v>1</v>
      </c>
      <c r="AJ207" s="18" t="n">
        <f aca="false">IF($AD207=1,$V207,1)</f>
        <v>1</v>
      </c>
      <c r="AK207" s="18" t="n">
        <f aca="false">IF($AD207=1,$Y207,1)</f>
        <v>1</v>
      </c>
    </row>
    <row r="208" customFormat="false" ht="15" hidden="false" customHeight="false" outlineLevel="0" collapsed="false">
      <c r="A208" s="10"/>
      <c r="B208" s="10"/>
      <c r="C208" s="12"/>
      <c r="D208" s="17"/>
      <c r="E208" s="13"/>
      <c r="F208" s="21"/>
      <c r="G208" s="12"/>
      <c r="H208" s="12"/>
      <c r="I208" s="12"/>
      <c r="J208" s="12"/>
      <c r="K208" s="12"/>
      <c r="L208" s="12"/>
      <c r="M208" s="15"/>
      <c r="N208" s="15"/>
      <c r="O208" s="12"/>
      <c r="P208" s="17"/>
      <c r="Q208" s="22" t="str">
        <f aca="false">IF(OR($G208="",Setup!$B$5=""),"",Setup!$B$5/$G208)</f>
        <v/>
      </c>
      <c r="R208" s="23" t="str">
        <f aca="false">IF(OR($E208="",$Q208=""),"",1-(1-$E208)^$Q208)</f>
        <v/>
      </c>
      <c r="S208" s="22" t="str">
        <f aca="false">IF(OR($R208="",$H208=""),"",$H208*$R208)</f>
        <v/>
      </c>
      <c r="T208" s="23" t="str">
        <f aca="false">IF(OR($E208="",$I208=""),"",MIN(1,MIN(N($F208),$E208)+($E208-MIN(N($F208),$E208))*(1-$I208)))</f>
        <v/>
      </c>
      <c r="U208" s="23" t="str">
        <f aca="false">IF(OR($T208="",$Q208=""),"",1-(1-$T208)^$Q208)</f>
        <v/>
      </c>
      <c r="V208" s="23" t="str">
        <f aca="false">IF($M208&lt;&gt;"",$M208,IF($G208="","",MAX(1,(Setup!$B$6/$G208)^Setup!$B$7)))</f>
        <v/>
      </c>
      <c r="W208" s="22" t="str">
        <f aca="false">IF(COUNT($J208:$L208)&lt;3,"",Setup!$B$10*(6-$J208)+Setup!$B$11*$K208+Setup!$B$12*$L208)</f>
        <v/>
      </c>
      <c r="X208" s="23" t="str">
        <f aca="false">IF($W208="","",IF(LEFT(Setup!$B$15,1)="B",EXP(Setup!$B$14*($W208-1)),1+Setup!$B$14*($W208-1)))</f>
        <v/>
      </c>
      <c r="Y208" s="23" t="str">
        <f aca="false">IF($N208&lt;&gt;"",$N208,$X208)</f>
        <v/>
      </c>
      <c r="Z208" s="22" t="str">
        <f aca="false">IF(OR($H208="",$U208="",$V208=""),"",$H208*$U208*$V208)</f>
        <v/>
      </c>
      <c r="AA208" s="22" t="str">
        <f aca="false">IF(OR($Z208="",$Y208=""),"",$Z208*$Y208)</f>
        <v/>
      </c>
      <c r="AB208" s="1" t="str">
        <f aca="false">IF($A208="","",IF(OR($E208="",$G208="",$H208="",$I208="",AND($N208="",COUNT($J208:$L208)&lt;3)),"Missing: "&amp;IF($E208="","P ","")&amp;IF($G208="","T ","")&amp;IF($H208="","I ","")&amp;IF($I208="","C ","")&amp;IF(AND($N208="",COUNT($J208:$L208)&lt;3),"C_ctrl/C_ext/C_irr",""),IF(N($F208)&gt;$E208,"P_floor &gt; P (floor capped at P)","OK")))</f>
        <v/>
      </c>
      <c r="AC208" s="1" t="str">
        <f aca="false">IF($AA208="","",$AA208+ROW()/1000000)</f>
        <v/>
      </c>
      <c r="AD208" s="18" t="n">
        <f aca="false">IF(AND($A208&lt;&gt;"",ISNUMBER($AA208)),1,0)</f>
        <v>0</v>
      </c>
      <c r="AE208" s="18" t="n">
        <f aca="false">IF($AD208=1,$H208,0)</f>
        <v>0</v>
      </c>
      <c r="AF208" s="18" t="n">
        <f aca="false">IF($AD208=1,$E208,0)</f>
        <v>0</v>
      </c>
      <c r="AG208" s="18" t="n">
        <f aca="false">IF($AD208=1,MIN(N($F208),$E208),0)</f>
        <v>0</v>
      </c>
      <c r="AH208" s="18" t="n">
        <f aca="false">IF($AD208=1,$I208,0)</f>
        <v>0</v>
      </c>
      <c r="AI208" s="18" t="n">
        <f aca="false">IF($AD208=1,$G208,1)</f>
        <v>1</v>
      </c>
      <c r="AJ208" s="18" t="n">
        <f aca="false">IF($AD208=1,$V208,1)</f>
        <v>1</v>
      </c>
      <c r="AK208" s="18" t="n">
        <f aca="false">IF($AD208=1,$Y208,1)</f>
        <v>1</v>
      </c>
    </row>
    <row r="209" customFormat="false" ht="15" hidden="false" customHeight="false" outlineLevel="0" collapsed="false">
      <c r="A209" s="10"/>
      <c r="B209" s="10"/>
      <c r="C209" s="12"/>
      <c r="D209" s="17"/>
      <c r="E209" s="13"/>
      <c r="F209" s="21"/>
      <c r="G209" s="12"/>
      <c r="H209" s="12"/>
      <c r="I209" s="12"/>
      <c r="J209" s="12"/>
      <c r="K209" s="12"/>
      <c r="L209" s="12"/>
      <c r="M209" s="15"/>
      <c r="N209" s="15"/>
      <c r="O209" s="12"/>
      <c r="P209" s="17"/>
      <c r="Q209" s="22" t="str">
        <f aca="false">IF(OR($G209="",Setup!$B$5=""),"",Setup!$B$5/$G209)</f>
        <v/>
      </c>
      <c r="R209" s="23" t="str">
        <f aca="false">IF(OR($E209="",$Q209=""),"",1-(1-$E209)^$Q209)</f>
        <v/>
      </c>
      <c r="S209" s="22" t="str">
        <f aca="false">IF(OR($R209="",$H209=""),"",$H209*$R209)</f>
        <v/>
      </c>
      <c r="T209" s="23" t="str">
        <f aca="false">IF(OR($E209="",$I209=""),"",MIN(1,MIN(N($F209),$E209)+($E209-MIN(N($F209),$E209))*(1-$I209)))</f>
        <v/>
      </c>
      <c r="U209" s="23" t="str">
        <f aca="false">IF(OR($T209="",$Q209=""),"",1-(1-$T209)^$Q209)</f>
        <v/>
      </c>
      <c r="V209" s="23" t="str">
        <f aca="false">IF($M209&lt;&gt;"",$M209,IF($G209="","",MAX(1,(Setup!$B$6/$G209)^Setup!$B$7)))</f>
        <v/>
      </c>
      <c r="W209" s="22" t="str">
        <f aca="false">IF(COUNT($J209:$L209)&lt;3,"",Setup!$B$10*(6-$J209)+Setup!$B$11*$K209+Setup!$B$12*$L209)</f>
        <v/>
      </c>
      <c r="X209" s="23" t="str">
        <f aca="false">IF($W209="","",IF(LEFT(Setup!$B$15,1)="B",EXP(Setup!$B$14*($W209-1)),1+Setup!$B$14*($W209-1)))</f>
        <v/>
      </c>
      <c r="Y209" s="23" t="str">
        <f aca="false">IF($N209&lt;&gt;"",$N209,$X209)</f>
        <v/>
      </c>
      <c r="Z209" s="22" t="str">
        <f aca="false">IF(OR($H209="",$U209="",$V209=""),"",$H209*$U209*$V209)</f>
        <v/>
      </c>
      <c r="AA209" s="22" t="str">
        <f aca="false">IF(OR($Z209="",$Y209=""),"",$Z209*$Y209)</f>
        <v/>
      </c>
      <c r="AB209" s="1" t="str">
        <f aca="false">IF($A209="","",IF(OR($E209="",$G209="",$H209="",$I209="",AND($N209="",COUNT($J209:$L209)&lt;3)),"Missing: "&amp;IF($E209="","P ","")&amp;IF($G209="","T ","")&amp;IF($H209="","I ","")&amp;IF($I209="","C ","")&amp;IF(AND($N209="",COUNT($J209:$L209)&lt;3),"C_ctrl/C_ext/C_irr",""),IF(N($F209)&gt;$E209,"P_floor &gt; P (floor capped at P)","OK")))</f>
        <v/>
      </c>
      <c r="AC209" s="1" t="str">
        <f aca="false">IF($AA209="","",$AA209+ROW()/1000000)</f>
        <v/>
      </c>
      <c r="AD209" s="18" t="n">
        <f aca="false">IF(AND($A209&lt;&gt;"",ISNUMBER($AA209)),1,0)</f>
        <v>0</v>
      </c>
      <c r="AE209" s="18" t="n">
        <f aca="false">IF($AD209=1,$H209,0)</f>
        <v>0</v>
      </c>
      <c r="AF209" s="18" t="n">
        <f aca="false">IF($AD209=1,$E209,0)</f>
        <v>0</v>
      </c>
      <c r="AG209" s="18" t="n">
        <f aca="false">IF($AD209=1,MIN(N($F209),$E209),0)</f>
        <v>0</v>
      </c>
      <c r="AH209" s="18" t="n">
        <f aca="false">IF($AD209=1,$I209,0)</f>
        <v>0</v>
      </c>
      <c r="AI209" s="18" t="n">
        <f aca="false">IF($AD209=1,$G209,1)</f>
        <v>1</v>
      </c>
      <c r="AJ209" s="18" t="n">
        <f aca="false">IF($AD209=1,$V209,1)</f>
        <v>1</v>
      </c>
      <c r="AK209" s="18" t="n">
        <f aca="false">IF($AD209=1,$Y209,1)</f>
        <v>1</v>
      </c>
    </row>
    <row r="210" customFormat="false" ht="15" hidden="false" customHeight="false" outlineLevel="0" collapsed="false">
      <c r="A210" s="10"/>
      <c r="B210" s="10"/>
      <c r="C210" s="12"/>
      <c r="D210" s="17"/>
      <c r="E210" s="13"/>
      <c r="F210" s="21"/>
      <c r="G210" s="12"/>
      <c r="H210" s="12"/>
      <c r="I210" s="12"/>
      <c r="J210" s="12"/>
      <c r="K210" s="12"/>
      <c r="L210" s="12"/>
      <c r="M210" s="15"/>
      <c r="N210" s="15"/>
      <c r="O210" s="12"/>
      <c r="P210" s="17"/>
      <c r="Q210" s="22" t="str">
        <f aca="false">IF(OR($G210="",Setup!$B$5=""),"",Setup!$B$5/$G210)</f>
        <v/>
      </c>
      <c r="R210" s="23" t="str">
        <f aca="false">IF(OR($E210="",$Q210=""),"",1-(1-$E210)^$Q210)</f>
        <v/>
      </c>
      <c r="S210" s="22" t="str">
        <f aca="false">IF(OR($R210="",$H210=""),"",$H210*$R210)</f>
        <v/>
      </c>
      <c r="T210" s="23" t="str">
        <f aca="false">IF(OR($E210="",$I210=""),"",MIN(1,MIN(N($F210),$E210)+($E210-MIN(N($F210),$E210))*(1-$I210)))</f>
        <v/>
      </c>
      <c r="U210" s="23" t="str">
        <f aca="false">IF(OR($T210="",$Q210=""),"",1-(1-$T210)^$Q210)</f>
        <v/>
      </c>
      <c r="V210" s="23" t="str">
        <f aca="false">IF($M210&lt;&gt;"",$M210,IF($G210="","",MAX(1,(Setup!$B$6/$G210)^Setup!$B$7)))</f>
        <v/>
      </c>
      <c r="W210" s="22" t="str">
        <f aca="false">IF(COUNT($J210:$L210)&lt;3,"",Setup!$B$10*(6-$J210)+Setup!$B$11*$K210+Setup!$B$12*$L210)</f>
        <v/>
      </c>
      <c r="X210" s="23" t="str">
        <f aca="false">IF($W210="","",IF(LEFT(Setup!$B$15,1)="B",EXP(Setup!$B$14*($W210-1)),1+Setup!$B$14*($W210-1)))</f>
        <v/>
      </c>
      <c r="Y210" s="23" t="str">
        <f aca="false">IF($N210&lt;&gt;"",$N210,$X210)</f>
        <v/>
      </c>
      <c r="Z210" s="22" t="str">
        <f aca="false">IF(OR($H210="",$U210="",$V210=""),"",$H210*$U210*$V210)</f>
        <v/>
      </c>
      <c r="AA210" s="22" t="str">
        <f aca="false">IF(OR($Z210="",$Y210=""),"",$Z210*$Y210)</f>
        <v/>
      </c>
      <c r="AB210" s="1" t="str">
        <f aca="false">IF($A210="","",IF(OR($E210="",$G210="",$H210="",$I210="",AND($N210="",COUNT($J210:$L210)&lt;3)),"Missing: "&amp;IF($E210="","P ","")&amp;IF($G210="","T ","")&amp;IF($H210="","I ","")&amp;IF($I210="","C ","")&amp;IF(AND($N210="",COUNT($J210:$L210)&lt;3),"C_ctrl/C_ext/C_irr",""),IF(N($F210)&gt;$E210,"P_floor &gt; P (floor capped at P)","OK")))</f>
        <v/>
      </c>
      <c r="AC210" s="1" t="str">
        <f aca="false">IF($AA210="","",$AA210+ROW()/1000000)</f>
        <v/>
      </c>
      <c r="AD210" s="18" t="n">
        <f aca="false">IF(AND($A210&lt;&gt;"",ISNUMBER($AA210)),1,0)</f>
        <v>0</v>
      </c>
      <c r="AE210" s="18" t="n">
        <f aca="false">IF($AD210=1,$H210,0)</f>
        <v>0</v>
      </c>
      <c r="AF210" s="18" t="n">
        <f aca="false">IF($AD210=1,$E210,0)</f>
        <v>0</v>
      </c>
      <c r="AG210" s="18" t="n">
        <f aca="false">IF($AD210=1,MIN(N($F210),$E210),0)</f>
        <v>0</v>
      </c>
      <c r="AH210" s="18" t="n">
        <f aca="false">IF($AD210=1,$I210,0)</f>
        <v>0</v>
      </c>
      <c r="AI210" s="18" t="n">
        <f aca="false">IF($AD210=1,$G210,1)</f>
        <v>1</v>
      </c>
      <c r="AJ210" s="18" t="n">
        <f aca="false">IF($AD210=1,$V210,1)</f>
        <v>1</v>
      </c>
      <c r="AK210" s="18" t="n">
        <f aca="false">IF($AD210=1,$Y210,1)</f>
        <v>1</v>
      </c>
    </row>
    <row r="211" customFormat="false" ht="15" hidden="false" customHeight="false" outlineLevel="0" collapsed="false">
      <c r="A211" s="10"/>
      <c r="B211" s="10"/>
      <c r="C211" s="12"/>
      <c r="D211" s="17"/>
      <c r="E211" s="13"/>
      <c r="F211" s="21"/>
      <c r="G211" s="12"/>
      <c r="H211" s="12"/>
      <c r="I211" s="12"/>
      <c r="J211" s="12"/>
      <c r="K211" s="12"/>
      <c r="L211" s="12"/>
      <c r="M211" s="15"/>
      <c r="N211" s="15"/>
      <c r="O211" s="12"/>
      <c r="P211" s="17"/>
      <c r="Q211" s="22" t="str">
        <f aca="false">IF(OR($G211="",Setup!$B$5=""),"",Setup!$B$5/$G211)</f>
        <v/>
      </c>
      <c r="R211" s="23" t="str">
        <f aca="false">IF(OR($E211="",$Q211=""),"",1-(1-$E211)^$Q211)</f>
        <v/>
      </c>
      <c r="S211" s="22" t="str">
        <f aca="false">IF(OR($R211="",$H211=""),"",$H211*$R211)</f>
        <v/>
      </c>
      <c r="T211" s="23" t="str">
        <f aca="false">IF(OR($E211="",$I211=""),"",MIN(1,MIN(N($F211),$E211)+($E211-MIN(N($F211),$E211))*(1-$I211)))</f>
        <v/>
      </c>
      <c r="U211" s="23" t="str">
        <f aca="false">IF(OR($T211="",$Q211=""),"",1-(1-$T211)^$Q211)</f>
        <v/>
      </c>
      <c r="V211" s="23" t="str">
        <f aca="false">IF($M211&lt;&gt;"",$M211,IF($G211="","",MAX(1,(Setup!$B$6/$G211)^Setup!$B$7)))</f>
        <v/>
      </c>
      <c r="W211" s="22" t="str">
        <f aca="false">IF(COUNT($J211:$L211)&lt;3,"",Setup!$B$10*(6-$J211)+Setup!$B$11*$K211+Setup!$B$12*$L211)</f>
        <v/>
      </c>
      <c r="X211" s="23" t="str">
        <f aca="false">IF($W211="","",IF(LEFT(Setup!$B$15,1)="B",EXP(Setup!$B$14*($W211-1)),1+Setup!$B$14*($W211-1)))</f>
        <v/>
      </c>
      <c r="Y211" s="23" t="str">
        <f aca="false">IF($N211&lt;&gt;"",$N211,$X211)</f>
        <v/>
      </c>
      <c r="Z211" s="22" t="str">
        <f aca="false">IF(OR($H211="",$U211="",$V211=""),"",$H211*$U211*$V211)</f>
        <v/>
      </c>
      <c r="AA211" s="22" t="str">
        <f aca="false">IF(OR($Z211="",$Y211=""),"",$Z211*$Y211)</f>
        <v/>
      </c>
      <c r="AB211" s="1" t="str">
        <f aca="false">IF($A211="","",IF(OR($E211="",$G211="",$H211="",$I211="",AND($N211="",COUNT($J211:$L211)&lt;3)),"Missing: "&amp;IF($E211="","P ","")&amp;IF($G211="","T ","")&amp;IF($H211="","I ","")&amp;IF($I211="","C ","")&amp;IF(AND($N211="",COUNT($J211:$L211)&lt;3),"C_ctrl/C_ext/C_irr",""),IF(N($F211)&gt;$E211,"P_floor &gt; P (floor capped at P)","OK")))</f>
        <v/>
      </c>
      <c r="AC211" s="1" t="str">
        <f aca="false">IF($AA211="","",$AA211+ROW()/1000000)</f>
        <v/>
      </c>
      <c r="AD211" s="18" t="n">
        <f aca="false">IF(AND($A211&lt;&gt;"",ISNUMBER($AA211)),1,0)</f>
        <v>0</v>
      </c>
      <c r="AE211" s="18" t="n">
        <f aca="false">IF($AD211=1,$H211,0)</f>
        <v>0</v>
      </c>
      <c r="AF211" s="18" t="n">
        <f aca="false">IF($AD211=1,$E211,0)</f>
        <v>0</v>
      </c>
      <c r="AG211" s="18" t="n">
        <f aca="false">IF($AD211=1,MIN(N($F211),$E211),0)</f>
        <v>0</v>
      </c>
      <c r="AH211" s="18" t="n">
        <f aca="false">IF($AD211=1,$I211,0)</f>
        <v>0</v>
      </c>
      <c r="AI211" s="18" t="n">
        <f aca="false">IF($AD211=1,$G211,1)</f>
        <v>1</v>
      </c>
      <c r="AJ211" s="18" t="n">
        <f aca="false">IF($AD211=1,$V211,1)</f>
        <v>1</v>
      </c>
      <c r="AK211" s="18" t="n">
        <f aca="false">IF($AD211=1,$Y211,1)</f>
        <v>1</v>
      </c>
    </row>
    <row r="212" customFormat="false" ht="15" hidden="false" customHeight="false" outlineLevel="0" collapsed="false">
      <c r="A212" s="10"/>
      <c r="B212" s="10"/>
      <c r="C212" s="12"/>
      <c r="D212" s="17"/>
      <c r="E212" s="13"/>
      <c r="F212" s="21"/>
      <c r="G212" s="12"/>
      <c r="H212" s="12"/>
      <c r="I212" s="12"/>
      <c r="J212" s="12"/>
      <c r="K212" s="12"/>
      <c r="L212" s="12"/>
      <c r="M212" s="15"/>
      <c r="N212" s="15"/>
      <c r="O212" s="12"/>
      <c r="P212" s="17"/>
      <c r="Q212" s="22" t="str">
        <f aca="false">IF(OR($G212="",Setup!$B$5=""),"",Setup!$B$5/$G212)</f>
        <v/>
      </c>
      <c r="R212" s="23" t="str">
        <f aca="false">IF(OR($E212="",$Q212=""),"",1-(1-$E212)^$Q212)</f>
        <v/>
      </c>
      <c r="S212" s="22" t="str">
        <f aca="false">IF(OR($R212="",$H212=""),"",$H212*$R212)</f>
        <v/>
      </c>
      <c r="T212" s="23" t="str">
        <f aca="false">IF(OR($E212="",$I212=""),"",MIN(1,MIN(N($F212),$E212)+($E212-MIN(N($F212),$E212))*(1-$I212)))</f>
        <v/>
      </c>
      <c r="U212" s="23" t="str">
        <f aca="false">IF(OR($T212="",$Q212=""),"",1-(1-$T212)^$Q212)</f>
        <v/>
      </c>
      <c r="V212" s="23" t="str">
        <f aca="false">IF($M212&lt;&gt;"",$M212,IF($G212="","",MAX(1,(Setup!$B$6/$G212)^Setup!$B$7)))</f>
        <v/>
      </c>
      <c r="W212" s="22" t="str">
        <f aca="false">IF(COUNT($J212:$L212)&lt;3,"",Setup!$B$10*(6-$J212)+Setup!$B$11*$K212+Setup!$B$12*$L212)</f>
        <v/>
      </c>
      <c r="X212" s="23" t="str">
        <f aca="false">IF($W212="","",IF(LEFT(Setup!$B$15,1)="B",EXP(Setup!$B$14*($W212-1)),1+Setup!$B$14*($W212-1)))</f>
        <v/>
      </c>
      <c r="Y212" s="23" t="str">
        <f aca="false">IF($N212&lt;&gt;"",$N212,$X212)</f>
        <v/>
      </c>
      <c r="Z212" s="22" t="str">
        <f aca="false">IF(OR($H212="",$U212="",$V212=""),"",$H212*$U212*$V212)</f>
        <v/>
      </c>
      <c r="AA212" s="22" t="str">
        <f aca="false">IF(OR($Z212="",$Y212=""),"",$Z212*$Y212)</f>
        <v/>
      </c>
      <c r="AB212" s="1" t="str">
        <f aca="false">IF($A212="","",IF(OR($E212="",$G212="",$H212="",$I212="",AND($N212="",COUNT($J212:$L212)&lt;3)),"Missing: "&amp;IF($E212="","P ","")&amp;IF($G212="","T ","")&amp;IF($H212="","I ","")&amp;IF($I212="","C ","")&amp;IF(AND($N212="",COUNT($J212:$L212)&lt;3),"C_ctrl/C_ext/C_irr",""),IF(N($F212)&gt;$E212,"P_floor &gt; P (floor capped at P)","OK")))</f>
        <v/>
      </c>
      <c r="AC212" s="1" t="str">
        <f aca="false">IF($AA212="","",$AA212+ROW()/1000000)</f>
        <v/>
      </c>
      <c r="AD212" s="18" t="n">
        <f aca="false">IF(AND($A212&lt;&gt;"",ISNUMBER($AA212)),1,0)</f>
        <v>0</v>
      </c>
      <c r="AE212" s="18" t="n">
        <f aca="false">IF($AD212=1,$H212,0)</f>
        <v>0</v>
      </c>
      <c r="AF212" s="18" t="n">
        <f aca="false">IF($AD212=1,$E212,0)</f>
        <v>0</v>
      </c>
      <c r="AG212" s="18" t="n">
        <f aca="false">IF($AD212=1,MIN(N($F212),$E212),0)</f>
        <v>0</v>
      </c>
      <c r="AH212" s="18" t="n">
        <f aca="false">IF($AD212=1,$I212,0)</f>
        <v>0</v>
      </c>
      <c r="AI212" s="18" t="n">
        <f aca="false">IF($AD212=1,$G212,1)</f>
        <v>1</v>
      </c>
      <c r="AJ212" s="18" t="n">
        <f aca="false">IF($AD212=1,$V212,1)</f>
        <v>1</v>
      </c>
      <c r="AK212" s="18" t="n">
        <f aca="false">IF($AD212=1,$Y212,1)</f>
        <v>1</v>
      </c>
    </row>
    <row r="213" customFormat="false" ht="15" hidden="false" customHeight="false" outlineLevel="0" collapsed="false">
      <c r="A213" s="10"/>
      <c r="B213" s="10"/>
      <c r="C213" s="12"/>
      <c r="D213" s="17"/>
      <c r="E213" s="13"/>
      <c r="F213" s="21"/>
      <c r="G213" s="12"/>
      <c r="H213" s="12"/>
      <c r="I213" s="12"/>
      <c r="J213" s="12"/>
      <c r="K213" s="12"/>
      <c r="L213" s="12"/>
      <c r="M213" s="15"/>
      <c r="N213" s="15"/>
      <c r="O213" s="12"/>
      <c r="P213" s="17"/>
      <c r="Q213" s="22" t="str">
        <f aca="false">IF(OR($G213="",Setup!$B$5=""),"",Setup!$B$5/$G213)</f>
        <v/>
      </c>
      <c r="R213" s="23" t="str">
        <f aca="false">IF(OR($E213="",$Q213=""),"",1-(1-$E213)^$Q213)</f>
        <v/>
      </c>
      <c r="S213" s="22" t="str">
        <f aca="false">IF(OR($R213="",$H213=""),"",$H213*$R213)</f>
        <v/>
      </c>
      <c r="T213" s="23" t="str">
        <f aca="false">IF(OR($E213="",$I213=""),"",MIN(1,MIN(N($F213),$E213)+($E213-MIN(N($F213),$E213))*(1-$I213)))</f>
        <v/>
      </c>
      <c r="U213" s="23" t="str">
        <f aca="false">IF(OR($T213="",$Q213=""),"",1-(1-$T213)^$Q213)</f>
        <v/>
      </c>
      <c r="V213" s="23" t="str">
        <f aca="false">IF($M213&lt;&gt;"",$M213,IF($G213="","",MAX(1,(Setup!$B$6/$G213)^Setup!$B$7)))</f>
        <v/>
      </c>
      <c r="W213" s="22" t="str">
        <f aca="false">IF(COUNT($J213:$L213)&lt;3,"",Setup!$B$10*(6-$J213)+Setup!$B$11*$K213+Setup!$B$12*$L213)</f>
        <v/>
      </c>
      <c r="X213" s="23" t="str">
        <f aca="false">IF($W213="","",IF(LEFT(Setup!$B$15,1)="B",EXP(Setup!$B$14*($W213-1)),1+Setup!$B$14*($W213-1)))</f>
        <v/>
      </c>
      <c r="Y213" s="23" t="str">
        <f aca="false">IF($N213&lt;&gt;"",$N213,$X213)</f>
        <v/>
      </c>
      <c r="Z213" s="22" t="str">
        <f aca="false">IF(OR($H213="",$U213="",$V213=""),"",$H213*$U213*$V213)</f>
        <v/>
      </c>
      <c r="AA213" s="22" t="str">
        <f aca="false">IF(OR($Z213="",$Y213=""),"",$Z213*$Y213)</f>
        <v/>
      </c>
      <c r="AB213" s="1" t="str">
        <f aca="false">IF($A213="","",IF(OR($E213="",$G213="",$H213="",$I213="",AND($N213="",COUNT($J213:$L213)&lt;3)),"Missing: "&amp;IF($E213="","P ","")&amp;IF($G213="","T ","")&amp;IF($H213="","I ","")&amp;IF($I213="","C ","")&amp;IF(AND($N213="",COUNT($J213:$L213)&lt;3),"C_ctrl/C_ext/C_irr",""),IF(N($F213)&gt;$E213,"P_floor &gt; P (floor capped at P)","OK")))</f>
        <v/>
      </c>
      <c r="AC213" s="1" t="str">
        <f aca="false">IF($AA213="","",$AA213+ROW()/1000000)</f>
        <v/>
      </c>
      <c r="AD213" s="18" t="n">
        <f aca="false">IF(AND($A213&lt;&gt;"",ISNUMBER($AA213)),1,0)</f>
        <v>0</v>
      </c>
      <c r="AE213" s="18" t="n">
        <f aca="false">IF($AD213=1,$H213,0)</f>
        <v>0</v>
      </c>
      <c r="AF213" s="18" t="n">
        <f aca="false">IF($AD213=1,$E213,0)</f>
        <v>0</v>
      </c>
      <c r="AG213" s="18" t="n">
        <f aca="false">IF($AD213=1,MIN(N($F213),$E213),0)</f>
        <v>0</v>
      </c>
      <c r="AH213" s="18" t="n">
        <f aca="false">IF($AD213=1,$I213,0)</f>
        <v>0</v>
      </c>
      <c r="AI213" s="18" t="n">
        <f aca="false">IF($AD213=1,$G213,1)</f>
        <v>1</v>
      </c>
      <c r="AJ213" s="18" t="n">
        <f aca="false">IF($AD213=1,$V213,1)</f>
        <v>1</v>
      </c>
      <c r="AK213" s="18" t="n">
        <f aca="false">IF($AD213=1,$Y213,1)</f>
        <v>1</v>
      </c>
    </row>
    <row r="214" customFormat="false" ht="15" hidden="false" customHeight="false" outlineLevel="0" collapsed="false">
      <c r="A214" s="10"/>
      <c r="B214" s="10"/>
      <c r="C214" s="12"/>
      <c r="D214" s="17"/>
      <c r="E214" s="13"/>
      <c r="F214" s="21"/>
      <c r="G214" s="12"/>
      <c r="H214" s="12"/>
      <c r="I214" s="12"/>
      <c r="J214" s="12"/>
      <c r="K214" s="12"/>
      <c r="L214" s="12"/>
      <c r="M214" s="15"/>
      <c r="N214" s="15"/>
      <c r="O214" s="12"/>
      <c r="P214" s="17"/>
      <c r="Q214" s="22" t="str">
        <f aca="false">IF(OR($G214="",Setup!$B$5=""),"",Setup!$B$5/$G214)</f>
        <v/>
      </c>
      <c r="R214" s="23" t="str">
        <f aca="false">IF(OR($E214="",$Q214=""),"",1-(1-$E214)^$Q214)</f>
        <v/>
      </c>
      <c r="S214" s="22" t="str">
        <f aca="false">IF(OR($R214="",$H214=""),"",$H214*$R214)</f>
        <v/>
      </c>
      <c r="T214" s="23" t="str">
        <f aca="false">IF(OR($E214="",$I214=""),"",MIN(1,MIN(N($F214),$E214)+($E214-MIN(N($F214),$E214))*(1-$I214)))</f>
        <v/>
      </c>
      <c r="U214" s="23" t="str">
        <f aca="false">IF(OR($T214="",$Q214=""),"",1-(1-$T214)^$Q214)</f>
        <v/>
      </c>
      <c r="V214" s="23" t="str">
        <f aca="false">IF($M214&lt;&gt;"",$M214,IF($G214="","",MAX(1,(Setup!$B$6/$G214)^Setup!$B$7)))</f>
        <v/>
      </c>
      <c r="W214" s="22" t="str">
        <f aca="false">IF(COUNT($J214:$L214)&lt;3,"",Setup!$B$10*(6-$J214)+Setup!$B$11*$K214+Setup!$B$12*$L214)</f>
        <v/>
      </c>
      <c r="X214" s="23" t="str">
        <f aca="false">IF($W214="","",IF(LEFT(Setup!$B$15,1)="B",EXP(Setup!$B$14*($W214-1)),1+Setup!$B$14*($W214-1)))</f>
        <v/>
      </c>
      <c r="Y214" s="23" t="str">
        <f aca="false">IF($N214&lt;&gt;"",$N214,$X214)</f>
        <v/>
      </c>
      <c r="Z214" s="22" t="str">
        <f aca="false">IF(OR($H214="",$U214="",$V214=""),"",$H214*$U214*$V214)</f>
        <v/>
      </c>
      <c r="AA214" s="22" t="str">
        <f aca="false">IF(OR($Z214="",$Y214=""),"",$Z214*$Y214)</f>
        <v/>
      </c>
      <c r="AB214" s="1" t="str">
        <f aca="false">IF($A214="","",IF(OR($E214="",$G214="",$H214="",$I214="",AND($N214="",COUNT($J214:$L214)&lt;3)),"Missing: "&amp;IF($E214="","P ","")&amp;IF($G214="","T ","")&amp;IF($H214="","I ","")&amp;IF($I214="","C ","")&amp;IF(AND($N214="",COUNT($J214:$L214)&lt;3),"C_ctrl/C_ext/C_irr",""),IF(N($F214)&gt;$E214,"P_floor &gt; P (floor capped at P)","OK")))</f>
        <v/>
      </c>
      <c r="AC214" s="1" t="str">
        <f aca="false">IF($AA214="","",$AA214+ROW()/1000000)</f>
        <v/>
      </c>
      <c r="AD214" s="18" t="n">
        <f aca="false">IF(AND($A214&lt;&gt;"",ISNUMBER($AA214)),1,0)</f>
        <v>0</v>
      </c>
      <c r="AE214" s="18" t="n">
        <f aca="false">IF($AD214=1,$H214,0)</f>
        <v>0</v>
      </c>
      <c r="AF214" s="18" t="n">
        <f aca="false">IF($AD214=1,$E214,0)</f>
        <v>0</v>
      </c>
      <c r="AG214" s="18" t="n">
        <f aca="false">IF($AD214=1,MIN(N($F214),$E214),0)</f>
        <v>0</v>
      </c>
      <c r="AH214" s="18" t="n">
        <f aca="false">IF($AD214=1,$I214,0)</f>
        <v>0</v>
      </c>
      <c r="AI214" s="18" t="n">
        <f aca="false">IF($AD214=1,$G214,1)</f>
        <v>1</v>
      </c>
      <c r="AJ214" s="18" t="n">
        <f aca="false">IF($AD214=1,$V214,1)</f>
        <v>1</v>
      </c>
      <c r="AK214" s="18" t="n">
        <f aca="false">IF($AD214=1,$Y214,1)</f>
        <v>1</v>
      </c>
    </row>
    <row r="215" customFormat="false" ht="15" hidden="false" customHeight="false" outlineLevel="0" collapsed="false">
      <c r="A215" s="10"/>
      <c r="B215" s="10"/>
      <c r="C215" s="12"/>
      <c r="D215" s="17"/>
      <c r="E215" s="13"/>
      <c r="F215" s="21"/>
      <c r="G215" s="12"/>
      <c r="H215" s="12"/>
      <c r="I215" s="12"/>
      <c r="J215" s="12"/>
      <c r="K215" s="12"/>
      <c r="L215" s="12"/>
      <c r="M215" s="15"/>
      <c r="N215" s="15"/>
      <c r="O215" s="12"/>
      <c r="P215" s="17"/>
      <c r="Q215" s="22" t="str">
        <f aca="false">IF(OR($G215="",Setup!$B$5=""),"",Setup!$B$5/$G215)</f>
        <v/>
      </c>
      <c r="R215" s="23" t="str">
        <f aca="false">IF(OR($E215="",$Q215=""),"",1-(1-$E215)^$Q215)</f>
        <v/>
      </c>
      <c r="S215" s="22" t="str">
        <f aca="false">IF(OR($R215="",$H215=""),"",$H215*$R215)</f>
        <v/>
      </c>
      <c r="T215" s="23" t="str">
        <f aca="false">IF(OR($E215="",$I215=""),"",MIN(1,MIN(N($F215),$E215)+($E215-MIN(N($F215),$E215))*(1-$I215)))</f>
        <v/>
      </c>
      <c r="U215" s="23" t="str">
        <f aca="false">IF(OR($T215="",$Q215=""),"",1-(1-$T215)^$Q215)</f>
        <v/>
      </c>
      <c r="V215" s="23" t="str">
        <f aca="false">IF($M215&lt;&gt;"",$M215,IF($G215="","",MAX(1,(Setup!$B$6/$G215)^Setup!$B$7)))</f>
        <v/>
      </c>
      <c r="W215" s="22" t="str">
        <f aca="false">IF(COUNT($J215:$L215)&lt;3,"",Setup!$B$10*(6-$J215)+Setup!$B$11*$K215+Setup!$B$12*$L215)</f>
        <v/>
      </c>
      <c r="X215" s="23" t="str">
        <f aca="false">IF($W215="","",IF(LEFT(Setup!$B$15,1)="B",EXP(Setup!$B$14*($W215-1)),1+Setup!$B$14*($W215-1)))</f>
        <v/>
      </c>
      <c r="Y215" s="23" t="str">
        <f aca="false">IF($N215&lt;&gt;"",$N215,$X215)</f>
        <v/>
      </c>
      <c r="Z215" s="22" t="str">
        <f aca="false">IF(OR($H215="",$U215="",$V215=""),"",$H215*$U215*$V215)</f>
        <v/>
      </c>
      <c r="AA215" s="22" t="str">
        <f aca="false">IF(OR($Z215="",$Y215=""),"",$Z215*$Y215)</f>
        <v/>
      </c>
      <c r="AB215" s="1" t="str">
        <f aca="false">IF($A215="","",IF(OR($E215="",$G215="",$H215="",$I215="",AND($N215="",COUNT($J215:$L215)&lt;3)),"Missing: "&amp;IF($E215="","P ","")&amp;IF($G215="","T ","")&amp;IF($H215="","I ","")&amp;IF($I215="","C ","")&amp;IF(AND($N215="",COUNT($J215:$L215)&lt;3),"C_ctrl/C_ext/C_irr",""),IF(N($F215)&gt;$E215,"P_floor &gt; P (floor capped at P)","OK")))</f>
        <v/>
      </c>
      <c r="AC215" s="1" t="str">
        <f aca="false">IF($AA215="","",$AA215+ROW()/1000000)</f>
        <v/>
      </c>
      <c r="AD215" s="18" t="n">
        <f aca="false">IF(AND($A215&lt;&gt;"",ISNUMBER($AA215)),1,0)</f>
        <v>0</v>
      </c>
      <c r="AE215" s="18" t="n">
        <f aca="false">IF($AD215=1,$H215,0)</f>
        <v>0</v>
      </c>
      <c r="AF215" s="18" t="n">
        <f aca="false">IF($AD215=1,$E215,0)</f>
        <v>0</v>
      </c>
      <c r="AG215" s="18" t="n">
        <f aca="false">IF($AD215=1,MIN(N($F215),$E215),0)</f>
        <v>0</v>
      </c>
      <c r="AH215" s="18" t="n">
        <f aca="false">IF($AD215=1,$I215,0)</f>
        <v>0</v>
      </c>
      <c r="AI215" s="18" t="n">
        <f aca="false">IF($AD215=1,$G215,1)</f>
        <v>1</v>
      </c>
      <c r="AJ215" s="18" t="n">
        <f aca="false">IF($AD215=1,$V215,1)</f>
        <v>1</v>
      </c>
      <c r="AK215" s="18" t="n">
        <f aca="false">IF($AD215=1,$Y215,1)</f>
        <v>1</v>
      </c>
    </row>
    <row r="216" customFormat="false" ht="15" hidden="false" customHeight="false" outlineLevel="0" collapsed="false">
      <c r="A216" s="10"/>
      <c r="B216" s="10"/>
      <c r="C216" s="12"/>
      <c r="D216" s="17"/>
      <c r="E216" s="13"/>
      <c r="F216" s="21"/>
      <c r="G216" s="12"/>
      <c r="H216" s="12"/>
      <c r="I216" s="12"/>
      <c r="J216" s="12"/>
      <c r="K216" s="12"/>
      <c r="L216" s="12"/>
      <c r="M216" s="15"/>
      <c r="N216" s="15"/>
      <c r="O216" s="12"/>
      <c r="P216" s="17"/>
      <c r="Q216" s="22" t="str">
        <f aca="false">IF(OR($G216="",Setup!$B$5=""),"",Setup!$B$5/$G216)</f>
        <v/>
      </c>
      <c r="R216" s="23" t="str">
        <f aca="false">IF(OR($E216="",$Q216=""),"",1-(1-$E216)^$Q216)</f>
        <v/>
      </c>
      <c r="S216" s="22" t="str">
        <f aca="false">IF(OR($R216="",$H216=""),"",$H216*$R216)</f>
        <v/>
      </c>
      <c r="T216" s="23" t="str">
        <f aca="false">IF(OR($E216="",$I216=""),"",MIN(1,MIN(N($F216),$E216)+($E216-MIN(N($F216),$E216))*(1-$I216)))</f>
        <v/>
      </c>
      <c r="U216" s="23" t="str">
        <f aca="false">IF(OR($T216="",$Q216=""),"",1-(1-$T216)^$Q216)</f>
        <v/>
      </c>
      <c r="V216" s="23" t="str">
        <f aca="false">IF($M216&lt;&gt;"",$M216,IF($G216="","",MAX(1,(Setup!$B$6/$G216)^Setup!$B$7)))</f>
        <v/>
      </c>
      <c r="W216" s="22" t="str">
        <f aca="false">IF(COUNT($J216:$L216)&lt;3,"",Setup!$B$10*(6-$J216)+Setup!$B$11*$K216+Setup!$B$12*$L216)</f>
        <v/>
      </c>
      <c r="X216" s="23" t="str">
        <f aca="false">IF($W216="","",IF(LEFT(Setup!$B$15,1)="B",EXP(Setup!$B$14*($W216-1)),1+Setup!$B$14*($W216-1)))</f>
        <v/>
      </c>
      <c r="Y216" s="23" t="str">
        <f aca="false">IF($N216&lt;&gt;"",$N216,$X216)</f>
        <v/>
      </c>
      <c r="Z216" s="22" t="str">
        <f aca="false">IF(OR($H216="",$U216="",$V216=""),"",$H216*$U216*$V216)</f>
        <v/>
      </c>
      <c r="AA216" s="22" t="str">
        <f aca="false">IF(OR($Z216="",$Y216=""),"",$Z216*$Y216)</f>
        <v/>
      </c>
      <c r="AB216" s="1" t="str">
        <f aca="false">IF($A216="","",IF(OR($E216="",$G216="",$H216="",$I216="",AND($N216="",COUNT($J216:$L216)&lt;3)),"Missing: "&amp;IF($E216="","P ","")&amp;IF($G216="","T ","")&amp;IF($H216="","I ","")&amp;IF($I216="","C ","")&amp;IF(AND($N216="",COUNT($J216:$L216)&lt;3),"C_ctrl/C_ext/C_irr",""),IF(N($F216)&gt;$E216,"P_floor &gt; P (floor capped at P)","OK")))</f>
        <v/>
      </c>
      <c r="AC216" s="1" t="str">
        <f aca="false">IF($AA216="","",$AA216+ROW()/1000000)</f>
        <v/>
      </c>
      <c r="AD216" s="18" t="n">
        <f aca="false">IF(AND($A216&lt;&gt;"",ISNUMBER($AA216)),1,0)</f>
        <v>0</v>
      </c>
      <c r="AE216" s="18" t="n">
        <f aca="false">IF($AD216=1,$H216,0)</f>
        <v>0</v>
      </c>
      <c r="AF216" s="18" t="n">
        <f aca="false">IF($AD216=1,$E216,0)</f>
        <v>0</v>
      </c>
      <c r="AG216" s="18" t="n">
        <f aca="false">IF($AD216=1,MIN(N($F216),$E216),0)</f>
        <v>0</v>
      </c>
      <c r="AH216" s="18" t="n">
        <f aca="false">IF($AD216=1,$I216,0)</f>
        <v>0</v>
      </c>
      <c r="AI216" s="18" t="n">
        <f aca="false">IF($AD216=1,$G216,1)</f>
        <v>1</v>
      </c>
      <c r="AJ216" s="18" t="n">
        <f aca="false">IF($AD216=1,$V216,1)</f>
        <v>1</v>
      </c>
      <c r="AK216" s="18" t="n">
        <f aca="false">IF($AD216=1,$Y216,1)</f>
        <v>1</v>
      </c>
    </row>
    <row r="217" customFormat="false" ht="15" hidden="false" customHeight="false" outlineLevel="0" collapsed="false">
      <c r="A217" s="10"/>
      <c r="B217" s="10"/>
      <c r="C217" s="12"/>
      <c r="D217" s="17"/>
      <c r="E217" s="13"/>
      <c r="F217" s="21"/>
      <c r="G217" s="12"/>
      <c r="H217" s="12"/>
      <c r="I217" s="12"/>
      <c r="J217" s="12"/>
      <c r="K217" s="12"/>
      <c r="L217" s="12"/>
      <c r="M217" s="15"/>
      <c r="N217" s="15"/>
      <c r="O217" s="12"/>
      <c r="P217" s="17"/>
      <c r="Q217" s="22" t="str">
        <f aca="false">IF(OR($G217="",Setup!$B$5=""),"",Setup!$B$5/$G217)</f>
        <v/>
      </c>
      <c r="R217" s="23" t="str">
        <f aca="false">IF(OR($E217="",$Q217=""),"",1-(1-$E217)^$Q217)</f>
        <v/>
      </c>
      <c r="S217" s="22" t="str">
        <f aca="false">IF(OR($R217="",$H217=""),"",$H217*$R217)</f>
        <v/>
      </c>
      <c r="T217" s="23" t="str">
        <f aca="false">IF(OR($E217="",$I217=""),"",MIN(1,MIN(N($F217),$E217)+($E217-MIN(N($F217),$E217))*(1-$I217)))</f>
        <v/>
      </c>
      <c r="U217" s="23" t="str">
        <f aca="false">IF(OR($T217="",$Q217=""),"",1-(1-$T217)^$Q217)</f>
        <v/>
      </c>
      <c r="V217" s="23" t="str">
        <f aca="false">IF($M217&lt;&gt;"",$M217,IF($G217="","",MAX(1,(Setup!$B$6/$G217)^Setup!$B$7)))</f>
        <v/>
      </c>
      <c r="W217" s="22" t="str">
        <f aca="false">IF(COUNT($J217:$L217)&lt;3,"",Setup!$B$10*(6-$J217)+Setup!$B$11*$K217+Setup!$B$12*$L217)</f>
        <v/>
      </c>
      <c r="X217" s="23" t="str">
        <f aca="false">IF($W217="","",IF(LEFT(Setup!$B$15,1)="B",EXP(Setup!$B$14*($W217-1)),1+Setup!$B$14*($W217-1)))</f>
        <v/>
      </c>
      <c r="Y217" s="23" t="str">
        <f aca="false">IF($N217&lt;&gt;"",$N217,$X217)</f>
        <v/>
      </c>
      <c r="Z217" s="22" t="str">
        <f aca="false">IF(OR($H217="",$U217="",$V217=""),"",$H217*$U217*$V217)</f>
        <v/>
      </c>
      <c r="AA217" s="22" t="str">
        <f aca="false">IF(OR($Z217="",$Y217=""),"",$Z217*$Y217)</f>
        <v/>
      </c>
      <c r="AB217" s="1" t="str">
        <f aca="false">IF($A217="","",IF(OR($E217="",$G217="",$H217="",$I217="",AND($N217="",COUNT($J217:$L217)&lt;3)),"Missing: "&amp;IF($E217="","P ","")&amp;IF($G217="","T ","")&amp;IF($H217="","I ","")&amp;IF($I217="","C ","")&amp;IF(AND($N217="",COUNT($J217:$L217)&lt;3),"C_ctrl/C_ext/C_irr",""),IF(N($F217)&gt;$E217,"P_floor &gt; P (floor capped at P)","OK")))</f>
        <v/>
      </c>
      <c r="AC217" s="1" t="str">
        <f aca="false">IF($AA217="","",$AA217+ROW()/1000000)</f>
        <v/>
      </c>
      <c r="AD217" s="18" t="n">
        <f aca="false">IF(AND($A217&lt;&gt;"",ISNUMBER($AA217)),1,0)</f>
        <v>0</v>
      </c>
      <c r="AE217" s="18" t="n">
        <f aca="false">IF($AD217=1,$H217,0)</f>
        <v>0</v>
      </c>
      <c r="AF217" s="18" t="n">
        <f aca="false">IF($AD217=1,$E217,0)</f>
        <v>0</v>
      </c>
      <c r="AG217" s="18" t="n">
        <f aca="false">IF($AD217=1,MIN(N($F217),$E217),0)</f>
        <v>0</v>
      </c>
      <c r="AH217" s="18" t="n">
        <f aca="false">IF($AD217=1,$I217,0)</f>
        <v>0</v>
      </c>
      <c r="AI217" s="18" t="n">
        <f aca="false">IF($AD217=1,$G217,1)</f>
        <v>1</v>
      </c>
      <c r="AJ217" s="18" t="n">
        <f aca="false">IF($AD217=1,$V217,1)</f>
        <v>1</v>
      </c>
      <c r="AK217" s="18" t="n">
        <f aca="false">IF($AD217=1,$Y217,1)</f>
        <v>1</v>
      </c>
    </row>
    <row r="218" customFormat="false" ht="15" hidden="false" customHeight="false" outlineLevel="0" collapsed="false">
      <c r="A218" s="10"/>
      <c r="B218" s="10"/>
      <c r="C218" s="12"/>
      <c r="D218" s="17"/>
      <c r="E218" s="13"/>
      <c r="F218" s="21"/>
      <c r="G218" s="12"/>
      <c r="H218" s="12"/>
      <c r="I218" s="12"/>
      <c r="J218" s="12"/>
      <c r="K218" s="12"/>
      <c r="L218" s="12"/>
      <c r="M218" s="15"/>
      <c r="N218" s="15"/>
      <c r="O218" s="12"/>
      <c r="P218" s="17"/>
      <c r="Q218" s="22" t="str">
        <f aca="false">IF(OR($G218="",Setup!$B$5=""),"",Setup!$B$5/$G218)</f>
        <v/>
      </c>
      <c r="R218" s="23" t="str">
        <f aca="false">IF(OR($E218="",$Q218=""),"",1-(1-$E218)^$Q218)</f>
        <v/>
      </c>
      <c r="S218" s="22" t="str">
        <f aca="false">IF(OR($R218="",$H218=""),"",$H218*$R218)</f>
        <v/>
      </c>
      <c r="T218" s="23" t="str">
        <f aca="false">IF(OR($E218="",$I218=""),"",MIN(1,MIN(N($F218),$E218)+($E218-MIN(N($F218),$E218))*(1-$I218)))</f>
        <v/>
      </c>
      <c r="U218" s="23" t="str">
        <f aca="false">IF(OR($T218="",$Q218=""),"",1-(1-$T218)^$Q218)</f>
        <v/>
      </c>
      <c r="V218" s="23" t="str">
        <f aca="false">IF($M218&lt;&gt;"",$M218,IF($G218="","",MAX(1,(Setup!$B$6/$G218)^Setup!$B$7)))</f>
        <v/>
      </c>
      <c r="W218" s="22" t="str">
        <f aca="false">IF(COUNT($J218:$L218)&lt;3,"",Setup!$B$10*(6-$J218)+Setup!$B$11*$K218+Setup!$B$12*$L218)</f>
        <v/>
      </c>
      <c r="X218" s="23" t="str">
        <f aca="false">IF($W218="","",IF(LEFT(Setup!$B$15,1)="B",EXP(Setup!$B$14*($W218-1)),1+Setup!$B$14*($W218-1)))</f>
        <v/>
      </c>
      <c r="Y218" s="23" t="str">
        <f aca="false">IF($N218&lt;&gt;"",$N218,$X218)</f>
        <v/>
      </c>
      <c r="Z218" s="22" t="str">
        <f aca="false">IF(OR($H218="",$U218="",$V218=""),"",$H218*$U218*$V218)</f>
        <v/>
      </c>
      <c r="AA218" s="22" t="str">
        <f aca="false">IF(OR($Z218="",$Y218=""),"",$Z218*$Y218)</f>
        <v/>
      </c>
      <c r="AB218" s="1" t="str">
        <f aca="false">IF($A218="","",IF(OR($E218="",$G218="",$H218="",$I218="",AND($N218="",COUNT($J218:$L218)&lt;3)),"Missing: "&amp;IF($E218="","P ","")&amp;IF($G218="","T ","")&amp;IF($H218="","I ","")&amp;IF($I218="","C ","")&amp;IF(AND($N218="",COUNT($J218:$L218)&lt;3),"C_ctrl/C_ext/C_irr",""),IF(N($F218)&gt;$E218,"P_floor &gt; P (floor capped at P)","OK")))</f>
        <v/>
      </c>
      <c r="AC218" s="1" t="str">
        <f aca="false">IF($AA218="","",$AA218+ROW()/1000000)</f>
        <v/>
      </c>
      <c r="AD218" s="18" t="n">
        <f aca="false">IF(AND($A218&lt;&gt;"",ISNUMBER($AA218)),1,0)</f>
        <v>0</v>
      </c>
      <c r="AE218" s="18" t="n">
        <f aca="false">IF($AD218=1,$H218,0)</f>
        <v>0</v>
      </c>
      <c r="AF218" s="18" t="n">
        <f aca="false">IF($AD218=1,$E218,0)</f>
        <v>0</v>
      </c>
      <c r="AG218" s="18" t="n">
        <f aca="false">IF($AD218=1,MIN(N($F218),$E218),0)</f>
        <v>0</v>
      </c>
      <c r="AH218" s="18" t="n">
        <f aca="false">IF($AD218=1,$I218,0)</f>
        <v>0</v>
      </c>
      <c r="AI218" s="18" t="n">
        <f aca="false">IF($AD218=1,$G218,1)</f>
        <v>1</v>
      </c>
      <c r="AJ218" s="18" t="n">
        <f aca="false">IF($AD218=1,$V218,1)</f>
        <v>1</v>
      </c>
      <c r="AK218" s="18" t="n">
        <f aca="false">IF($AD218=1,$Y218,1)</f>
        <v>1</v>
      </c>
    </row>
    <row r="219" customFormat="false" ht="15" hidden="false" customHeight="false" outlineLevel="0" collapsed="false">
      <c r="A219" s="10"/>
      <c r="B219" s="10"/>
      <c r="C219" s="12"/>
      <c r="D219" s="17"/>
      <c r="E219" s="13"/>
      <c r="F219" s="21"/>
      <c r="G219" s="12"/>
      <c r="H219" s="12"/>
      <c r="I219" s="12"/>
      <c r="J219" s="12"/>
      <c r="K219" s="12"/>
      <c r="L219" s="12"/>
      <c r="M219" s="15"/>
      <c r="N219" s="15"/>
      <c r="O219" s="12"/>
      <c r="P219" s="17"/>
      <c r="Q219" s="22" t="str">
        <f aca="false">IF(OR($G219="",Setup!$B$5=""),"",Setup!$B$5/$G219)</f>
        <v/>
      </c>
      <c r="R219" s="23" t="str">
        <f aca="false">IF(OR($E219="",$Q219=""),"",1-(1-$E219)^$Q219)</f>
        <v/>
      </c>
      <c r="S219" s="22" t="str">
        <f aca="false">IF(OR($R219="",$H219=""),"",$H219*$R219)</f>
        <v/>
      </c>
      <c r="T219" s="23" t="str">
        <f aca="false">IF(OR($E219="",$I219=""),"",MIN(1,MIN(N($F219),$E219)+($E219-MIN(N($F219),$E219))*(1-$I219)))</f>
        <v/>
      </c>
      <c r="U219" s="23" t="str">
        <f aca="false">IF(OR($T219="",$Q219=""),"",1-(1-$T219)^$Q219)</f>
        <v/>
      </c>
      <c r="V219" s="23" t="str">
        <f aca="false">IF($M219&lt;&gt;"",$M219,IF($G219="","",MAX(1,(Setup!$B$6/$G219)^Setup!$B$7)))</f>
        <v/>
      </c>
      <c r="W219" s="22" t="str">
        <f aca="false">IF(COUNT($J219:$L219)&lt;3,"",Setup!$B$10*(6-$J219)+Setup!$B$11*$K219+Setup!$B$12*$L219)</f>
        <v/>
      </c>
      <c r="X219" s="23" t="str">
        <f aca="false">IF($W219="","",IF(LEFT(Setup!$B$15,1)="B",EXP(Setup!$B$14*($W219-1)),1+Setup!$B$14*($W219-1)))</f>
        <v/>
      </c>
      <c r="Y219" s="23" t="str">
        <f aca="false">IF($N219&lt;&gt;"",$N219,$X219)</f>
        <v/>
      </c>
      <c r="Z219" s="22" t="str">
        <f aca="false">IF(OR($H219="",$U219="",$V219=""),"",$H219*$U219*$V219)</f>
        <v/>
      </c>
      <c r="AA219" s="22" t="str">
        <f aca="false">IF(OR($Z219="",$Y219=""),"",$Z219*$Y219)</f>
        <v/>
      </c>
      <c r="AB219" s="1" t="str">
        <f aca="false">IF($A219="","",IF(OR($E219="",$G219="",$H219="",$I219="",AND($N219="",COUNT($J219:$L219)&lt;3)),"Missing: "&amp;IF($E219="","P ","")&amp;IF($G219="","T ","")&amp;IF($H219="","I ","")&amp;IF($I219="","C ","")&amp;IF(AND($N219="",COUNT($J219:$L219)&lt;3),"C_ctrl/C_ext/C_irr",""),IF(N($F219)&gt;$E219,"P_floor &gt; P (floor capped at P)","OK")))</f>
        <v/>
      </c>
      <c r="AC219" s="1" t="str">
        <f aca="false">IF($AA219="","",$AA219+ROW()/1000000)</f>
        <v/>
      </c>
      <c r="AD219" s="18" t="n">
        <f aca="false">IF(AND($A219&lt;&gt;"",ISNUMBER($AA219)),1,0)</f>
        <v>0</v>
      </c>
      <c r="AE219" s="18" t="n">
        <f aca="false">IF($AD219=1,$H219,0)</f>
        <v>0</v>
      </c>
      <c r="AF219" s="18" t="n">
        <f aca="false">IF($AD219=1,$E219,0)</f>
        <v>0</v>
      </c>
      <c r="AG219" s="18" t="n">
        <f aca="false">IF($AD219=1,MIN(N($F219),$E219),0)</f>
        <v>0</v>
      </c>
      <c r="AH219" s="18" t="n">
        <f aca="false">IF($AD219=1,$I219,0)</f>
        <v>0</v>
      </c>
      <c r="AI219" s="18" t="n">
        <f aca="false">IF($AD219=1,$G219,1)</f>
        <v>1</v>
      </c>
      <c r="AJ219" s="18" t="n">
        <f aca="false">IF($AD219=1,$V219,1)</f>
        <v>1</v>
      </c>
      <c r="AK219" s="18" t="n">
        <f aca="false">IF($AD219=1,$Y219,1)</f>
        <v>1</v>
      </c>
    </row>
    <row r="220" customFormat="false" ht="15" hidden="false" customHeight="false" outlineLevel="0" collapsed="false">
      <c r="A220" s="10"/>
      <c r="B220" s="10"/>
      <c r="C220" s="12"/>
      <c r="D220" s="17"/>
      <c r="E220" s="13"/>
      <c r="F220" s="21"/>
      <c r="G220" s="12"/>
      <c r="H220" s="12"/>
      <c r="I220" s="12"/>
      <c r="J220" s="12"/>
      <c r="K220" s="12"/>
      <c r="L220" s="12"/>
      <c r="M220" s="15"/>
      <c r="N220" s="15"/>
      <c r="O220" s="12"/>
      <c r="P220" s="17"/>
      <c r="Q220" s="22" t="str">
        <f aca="false">IF(OR($G220="",Setup!$B$5=""),"",Setup!$B$5/$G220)</f>
        <v/>
      </c>
      <c r="R220" s="23" t="str">
        <f aca="false">IF(OR($E220="",$Q220=""),"",1-(1-$E220)^$Q220)</f>
        <v/>
      </c>
      <c r="S220" s="22" t="str">
        <f aca="false">IF(OR($R220="",$H220=""),"",$H220*$R220)</f>
        <v/>
      </c>
      <c r="T220" s="23" t="str">
        <f aca="false">IF(OR($E220="",$I220=""),"",MIN(1,MIN(N($F220),$E220)+($E220-MIN(N($F220),$E220))*(1-$I220)))</f>
        <v/>
      </c>
      <c r="U220" s="23" t="str">
        <f aca="false">IF(OR($T220="",$Q220=""),"",1-(1-$T220)^$Q220)</f>
        <v/>
      </c>
      <c r="V220" s="23" t="str">
        <f aca="false">IF($M220&lt;&gt;"",$M220,IF($G220="","",MAX(1,(Setup!$B$6/$G220)^Setup!$B$7)))</f>
        <v/>
      </c>
      <c r="W220" s="22" t="str">
        <f aca="false">IF(COUNT($J220:$L220)&lt;3,"",Setup!$B$10*(6-$J220)+Setup!$B$11*$K220+Setup!$B$12*$L220)</f>
        <v/>
      </c>
      <c r="X220" s="23" t="str">
        <f aca="false">IF($W220="","",IF(LEFT(Setup!$B$15,1)="B",EXP(Setup!$B$14*($W220-1)),1+Setup!$B$14*($W220-1)))</f>
        <v/>
      </c>
      <c r="Y220" s="23" t="str">
        <f aca="false">IF($N220&lt;&gt;"",$N220,$X220)</f>
        <v/>
      </c>
      <c r="Z220" s="22" t="str">
        <f aca="false">IF(OR($H220="",$U220="",$V220=""),"",$H220*$U220*$V220)</f>
        <v/>
      </c>
      <c r="AA220" s="22" t="str">
        <f aca="false">IF(OR($Z220="",$Y220=""),"",$Z220*$Y220)</f>
        <v/>
      </c>
      <c r="AB220" s="1" t="str">
        <f aca="false">IF($A220="","",IF(OR($E220="",$G220="",$H220="",$I220="",AND($N220="",COUNT($J220:$L220)&lt;3)),"Missing: "&amp;IF($E220="","P ","")&amp;IF($G220="","T ","")&amp;IF($H220="","I ","")&amp;IF($I220="","C ","")&amp;IF(AND($N220="",COUNT($J220:$L220)&lt;3),"C_ctrl/C_ext/C_irr",""),IF(N($F220)&gt;$E220,"P_floor &gt; P (floor capped at P)","OK")))</f>
        <v/>
      </c>
      <c r="AC220" s="1" t="str">
        <f aca="false">IF($AA220="","",$AA220+ROW()/1000000)</f>
        <v/>
      </c>
      <c r="AD220" s="18" t="n">
        <f aca="false">IF(AND($A220&lt;&gt;"",ISNUMBER($AA220)),1,0)</f>
        <v>0</v>
      </c>
      <c r="AE220" s="18" t="n">
        <f aca="false">IF($AD220=1,$H220,0)</f>
        <v>0</v>
      </c>
      <c r="AF220" s="18" t="n">
        <f aca="false">IF($AD220=1,$E220,0)</f>
        <v>0</v>
      </c>
      <c r="AG220" s="18" t="n">
        <f aca="false">IF($AD220=1,MIN(N($F220),$E220),0)</f>
        <v>0</v>
      </c>
      <c r="AH220" s="18" t="n">
        <f aca="false">IF($AD220=1,$I220,0)</f>
        <v>0</v>
      </c>
      <c r="AI220" s="18" t="n">
        <f aca="false">IF($AD220=1,$G220,1)</f>
        <v>1</v>
      </c>
      <c r="AJ220" s="18" t="n">
        <f aca="false">IF($AD220=1,$V220,1)</f>
        <v>1</v>
      </c>
      <c r="AK220" s="18" t="n">
        <f aca="false">IF($AD220=1,$Y220,1)</f>
        <v>1</v>
      </c>
    </row>
    <row r="221" customFormat="false" ht="15" hidden="false" customHeight="false" outlineLevel="0" collapsed="false">
      <c r="A221" s="10"/>
      <c r="B221" s="10"/>
      <c r="C221" s="12"/>
      <c r="D221" s="17"/>
      <c r="E221" s="13"/>
      <c r="F221" s="21"/>
      <c r="G221" s="12"/>
      <c r="H221" s="12"/>
      <c r="I221" s="12"/>
      <c r="J221" s="12"/>
      <c r="K221" s="12"/>
      <c r="L221" s="12"/>
      <c r="M221" s="15"/>
      <c r="N221" s="15"/>
      <c r="O221" s="12"/>
      <c r="P221" s="17"/>
      <c r="Q221" s="22" t="str">
        <f aca="false">IF(OR($G221="",Setup!$B$5=""),"",Setup!$B$5/$G221)</f>
        <v/>
      </c>
      <c r="R221" s="23" t="str">
        <f aca="false">IF(OR($E221="",$Q221=""),"",1-(1-$E221)^$Q221)</f>
        <v/>
      </c>
      <c r="S221" s="22" t="str">
        <f aca="false">IF(OR($R221="",$H221=""),"",$H221*$R221)</f>
        <v/>
      </c>
      <c r="T221" s="23" t="str">
        <f aca="false">IF(OR($E221="",$I221=""),"",MIN(1,MIN(N($F221),$E221)+($E221-MIN(N($F221),$E221))*(1-$I221)))</f>
        <v/>
      </c>
      <c r="U221" s="23" t="str">
        <f aca="false">IF(OR($T221="",$Q221=""),"",1-(1-$T221)^$Q221)</f>
        <v/>
      </c>
      <c r="V221" s="23" t="str">
        <f aca="false">IF($M221&lt;&gt;"",$M221,IF($G221="","",MAX(1,(Setup!$B$6/$G221)^Setup!$B$7)))</f>
        <v/>
      </c>
      <c r="W221" s="22" t="str">
        <f aca="false">IF(COUNT($J221:$L221)&lt;3,"",Setup!$B$10*(6-$J221)+Setup!$B$11*$K221+Setup!$B$12*$L221)</f>
        <v/>
      </c>
      <c r="X221" s="23" t="str">
        <f aca="false">IF($W221="","",IF(LEFT(Setup!$B$15,1)="B",EXP(Setup!$B$14*($W221-1)),1+Setup!$B$14*($W221-1)))</f>
        <v/>
      </c>
      <c r="Y221" s="23" t="str">
        <f aca="false">IF($N221&lt;&gt;"",$N221,$X221)</f>
        <v/>
      </c>
      <c r="Z221" s="22" t="str">
        <f aca="false">IF(OR($H221="",$U221="",$V221=""),"",$H221*$U221*$V221)</f>
        <v/>
      </c>
      <c r="AA221" s="22" t="str">
        <f aca="false">IF(OR($Z221="",$Y221=""),"",$Z221*$Y221)</f>
        <v/>
      </c>
      <c r="AB221" s="1" t="str">
        <f aca="false">IF($A221="","",IF(OR($E221="",$G221="",$H221="",$I221="",AND($N221="",COUNT($J221:$L221)&lt;3)),"Missing: "&amp;IF($E221="","P ","")&amp;IF($G221="","T ","")&amp;IF($H221="","I ","")&amp;IF($I221="","C ","")&amp;IF(AND($N221="",COUNT($J221:$L221)&lt;3),"C_ctrl/C_ext/C_irr",""),IF(N($F221)&gt;$E221,"P_floor &gt; P (floor capped at P)","OK")))</f>
        <v/>
      </c>
      <c r="AC221" s="1" t="str">
        <f aca="false">IF($AA221="","",$AA221+ROW()/1000000)</f>
        <v/>
      </c>
      <c r="AD221" s="18" t="n">
        <f aca="false">IF(AND($A221&lt;&gt;"",ISNUMBER($AA221)),1,0)</f>
        <v>0</v>
      </c>
      <c r="AE221" s="18" t="n">
        <f aca="false">IF($AD221=1,$H221,0)</f>
        <v>0</v>
      </c>
      <c r="AF221" s="18" t="n">
        <f aca="false">IF($AD221=1,$E221,0)</f>
        <v>0</v>
      </c>
      <c r="AG221" s="18" t="n">
        <f aca="false">IF($AD221=1,MIN(N($F221),$E221),0)</f>
        <v>0</v>
      </c>
      <c r="AH221" s="18" t="n">
        <f aca="false">IF($AD221=1,$I221,0)</f>
        <v>0</v>
      </c>
      <c r="AI221" s="18" t="n">
        <f aca="false">IF($AD221=1,$G221,1)</f>
        <v>1</v>
      </c>
      <c r="AJ221" s="18" t="n">
        <f aca="false">IF($AD221=1,$V221,1)</f>
        <v>1</v>
      </c>
      <c r="AK221" s="18" t="n">
        <f aca="false">IF($AD221=1,$Y221,1)</f>
        <v>1</v>
      </c>
    </row>
    <row r="222" customFormat="false" ht="15" hidden="false" customHeight="false" outlineLevel="0" collapsed="false">
      <c r="A222" s="10"/>
      <c r="B222" s="10"/>
      <c r="C222" s="12"/>
      <c r="D222" s="17"/>
      <c r="E222" s="13"/>
      <c r="F222" s="21"/>
      <c r="G222" s="12"/>
      <c r="H222" s="12"/>
      <c r="I222" s="12"/>
      <c r="J222" s="12"/>
      <c r="K222" s="12"/>
      <c r="L222" s="12"/>
      <c r="M222" s="15"/>
      <c r="N222" s="15"/>
      <c r="O222" s="12"/>
      <c r="P222" s="17"/>
      <c r="Q222" s="22" t="str">
        <f aca="false">IF(OR($G222="",Setup!$B$5=""),"",Setup!$B$5/$G222)</f>
        <v/>
      </c>
      <c r="R222" s="23" t="str">
        <f aca="false">IF(OR($E222="",$Q222=""),"",1-(1-$E222)^$Q222)</f>
        <v/>
      </c>
      <c r="S222" s="22" t="str">
        <f aca="false">IF(OR($R222="",$H222=""),"",$H222*$R222)</f>
        <v/>
      </c>
      <c r="T222" s="23" t="str">
        <f aca="false">IF(OR($E222="",$I222=""),"",MIN(1,MIN(N($F222),$E222)+($E222-MIN(N($F222),$E222))*(1-$I222)))</f>
        <v/>
      </c>
      <c r="U222" s="23" t="str">
        <f aca="false">IF(OR($T222="",$Q222=""),"",1-(1-$T222)^$Q222)</f>
        <v/>
      </c>
      <c r="V222" s="23" t="str">
        <f aca="false">IF($M222&lt;&gt;"",$M222,IF($G222="","",MAX(1,(Setup!$B$6/$G222)^Setup!$B$7)))</f>
        <v/>
      </c>
      <c r="W222" s="22" t="str">
        <f aca="false">IF(COUNT($J222:$L222)&lt;3,"",Setup!$B$10*(6-$J222)+Setup!$B$11*$K222+Setup!$B$12*$L222)</f>
        <v/>
      </c>
      <c r="X222" s="23" t="str">
        <f aca="false">IF($W222="","",IF(LEFT(Setup!$B$15,1)="B",EXP(Setup!$B$14*($W222-1)),1+Setup!$B$14*($W222-1)))</f>
        <v/>
      </c>
      <c r="Y222" s="23" t="str">
        <f aca="false">IF($N222&lt;&gt;"",$N222,$X222)</f>
        <v/>
      </c>
      <c r="Z222" s="22" t="str">
        <f aca="false">IF(OR($H222="",$U222="",$V222=""),"",$H222*$U222*$V222)</f>
        <v/>
      </c>
      <c r="AA222" s="22" t="str">
        <f aca="false">IF(OR($Z222="",$Y222=""),"",$Z222*$Y222)</f>
        <v/>
      </c>
      <c r="AB222" s="1" t="str">
        <f aca="false">IF($A222="","",IF(OR($E222="",$G222="",$H222="",$I222="",AND($N222="",COUNT($J222:$L222)&lt;3)),"Missing: "&amp;IF($E222="","P ","")&amp;IF($G222="","T ","")&amp;IF($H222="","I ","")&amp;IF($I222="","C ","")&amp;IF(AND($N222="",COUNT($J222:$L222)&lt;3),"C_ctrl/C_ext/C_irr",""),IF(N($F222)&gt;$E222,"P_floor &gt; P (floor capped at P)","OK")))</f>
        <v/>
      </c>
      <c r="AC222" s="1" t="str">
        <f aca="false">IF($AA222="","",$AA222+ROW()/1000000)</f>
        <v/>
      </c>
      <c r="AD222" s="18" t="n">
        <f aca="false">IF(AND($A222&lt;&gt;"",ISNUMBER($AA222)),1,0)</f>
        <v>0</v>
      </c>
      <c r="AE222" s="18" t="n">
        <f aca="false">IF($AD222=1,$H222,0)</f>
        <v>0</v>
      </c>
      <c r="AF222" s="18" t="n">
        <f aca="false">IF($AD222=1,$E222,0)</f>
        <v>0</v>
      </c>
      <c r="AG222" s="18" t="n">
        <f aca="false">IF($AD222=1,MIN(N($F222),$E222),0)</f>
        <v>0</v>
      </c>
      <c r="AH222" s="18" t="n">
        <f aca="false">IF($AD222=1,$I222,0)</f>
        <v>0</v>
      </c>
      <c r="AI222" s="18" t="n">
        <f aca="false">IF($AD222=1,$G222,1)</f>
        <v>1</v>
      </c>
      <c r="AJ222" s="18" t="n">
        <f aca="false">IF($AD222=1,$V222,1)</f>
        <v>1</v>
      </c>
      <c r="AK222" s="18" t="n">
        <f aca="false">IF($AD222=1,$Y222,1)</f>
        <v>1</v>
      </c>
    </row>
    <row r="223" customFormat="false" ht="15" hidden="false" customHeight="false" outlineLevel="0" collapsed="false">
      <c r="A223" s="10"/>
      <c r="B223" s="10"/>
      <c r="C223" s="12"/>
      <c r="D223" s="17"/>
      <c r="E223" s="13"/>
      <c r="F223" s="21"/>
      <c r="G223" s="12"/>
      <c r="H223" s="12"/>
      <c r="I223" s="12"/>
      <c r="J223" s="12"/>
      <c r="K223" s="12"/>
      <c r="L223" s="12"/>
      <c r="M223" s="15"/>
      <c r="N223" s="15"/>
      <c r="O223" s="12"/>
      <c r="P223" s="17"/>
      <c r="Q223" s="22" t="str">
        <f aca="false">IF(OR($G223="",Setup!$B$5=""),"",Setup!$B$5/$G223)</f>
        <v/>
      </c>
      <c r="R223" s="23" t="str">
        <f aca="false">IF(OR($E223="",$Q223=""),"",1-(1-$E223)^$Q223)</f>
        <v/>
      </c>
      <c r="S223" s="22" t="str">
        <f aca="false">IF(OR($R223="",$H223=""),"",$H223*$R223)</f>
        <v/>
      </c>
      <c r="T223" s="23" t="str">
        <f aca="false">IF(OR($E223="",$I223=""),"",MIN(1,MIN(N($F223),$E223)+($E223-MIN(N($F223),$E223))*(1-$I223)))</f>
        <v/>
      </c>
      <c r="U223" s="23" t="str">
        <f aca="false">IF(OR($T223="",$Q223=""),"",1-(1-$T223)^$Q223)</f>
        <v/>
      </c>
      <c r="V223" s="23" t="str">
        <f aca="false">IF($M223&lt;&gt;"",$M223,IF($G223="","",MAX(1,(Setup!$B$6/$G223)^Setup!$B$7)))</f>
        <v/>
      </c>
      <c r="W223" s="22" t="str">
        <f aca="false">IF(COUNT($J223:$L223)&lt;3,"",Setup!$B$10*(6-$J223)+Setup!$B$11*$K223+Setup!$B$12*$L223)</f>
        <v/>
      </c>
      <c r="X223" s="23" t="str">
        <f aca="false">IF($W223="","",IF(LEFT(Setup!$B$15,1)="B",EXP(Setup!$B$14*($W223-1)),1+Setup!$B$14*($W223-1)))</f>
        <v/>
      </c>
      <c r="Y223" s="23" t="str">
        <f aca="false">IF($N223&lt;&gt;"",$N223,$X223)</f>
        <v/>
      </c>
      <c r="Z223" s="22" t="str">
        <f aca="false">IF(OR($H223="",$U223="",$V223=""),"",$H223*$U223*$V223)</f>
        <v/>
      </c>
      <c r="AA223" s="22" t="str">
        <f aca="false">IF(OR($Z223="",$Y223=""),"",$Z223*$Y223)</f>
        <v/>
      </c>
      <c r="AB223" s="1" t="str">
        <f aca="false">IF($A223="","",IF(OR($E223="",$G223="",$H223="",$I223="",AND($N223="",COUNT($J223:$L223)&lt;3)),"Missing: "&amp;IF($E223="","P ","")&amp;IF($G223="","T ","")&amp;IF($H223="","I ","")&amp;IF($I223="","C ","")&amp;IF(AND($N223="",COUNT($J223:$L223)&lt;3),"C_ctrl/C_ext/C_irr",""),IF(N($F223)&gt;$E223,"P_floor &gt; P (floor capped at P)","OK")))</f>
        <v/>
      </c>
      <c r="AC223" s="1" t="str">
        <f aca="false">IF($AA223="","",$AA223+ROW()/1000000)</f>
        <v/>
      </c>
      <c r="AD223" s="18" t="n">
        <f aca="false">IF(AND($A223&lt;&gt;"",ISNUMBER($AA223)),1,0)</f>
        <v>0</v>
      </c>
      <c r="AE223" s="18" t="n">
        <f aca="false">IF($AD223=1,$H223,0)</f>
        <v>0</v>
      </c>
      <c r="AF223" s="18" t="n">
        <f aca="false">IF($AD223=1,$E223,0)</f>
        <v>0</v>
      </c>
      <c r="AG223" s="18" t="n">
        <f aca="false">IF($AD223=1,MIN(N($F223),$E223),0)</f>
        <v>0</v>
      </c>
      <c r="AH223" s="18" t="n">
        <f aca="false">IF($AD223=1,$I223,0)</f>
        <v>0</v>
      </c>
      <c r="AI223" s="18" t="n">
        <f aca="false">IF($AD223=1,$G223,1)</f>
        <v>1</v>
      </c>
      <c r="AJ223" s="18" t="n">
        <f aca="false">IF($AD223=1,$V223,1)</f>
        <v>1</v>
      </c>
      <c r="AK223" s="18" t="n">
        <f aca="false">IF($AD223=1,$Y223,1)</f>
        <v>1</v>
      </c>
    </row>
    <row r="224" customFormat="false" ht="15" hidden="false" customHeight="false" outlineLevel="0" collapsed="false">
      <c r="A224" s="10"/>
      <c r="B224" s="10"/>
      <c r="C224" s="12"/>
      <c r="D224" s="17"/>
      <c r="E224" s="13"/>
      <c r="F224" s="21"/>
      <c r="G224" s="12"/>
      <c r="H224" s="12"/>
      <c r="I224" s="12"/>
      <c r="J224" s="12"/>
      <c r="K224" s="12"/>
      <c r="L224" s="12"/>
      <c r="M224" s="15"/>
      <c r="N224" s="15"/>
      <c r="O224" s="12"/>
      <c r="P224" s="17"/>
      <c r="Q224" s="22" t="str">
        <f aca="false">IF(OR($G224="",Setup!$B$5=""),"",Setup!$B$5/$G224)</f>
        <v/>
      </c>
      <c r="R224" s="23" t="str">
        <f aca="false">IF(OR($E224="",$Q224=""),"",1-(1-$E224)^$Q224)</f>
        <v/>
      </c>
      <c r="S224" s="22" t="str">
        <f aca="false">IF(OR($R224="",$H224=""),"",$H224*$R224)</f>
        <v/>
      </c>
      <c r="T224" s="23" t="str">
        <f aca="false">IF(OR($E224="",$I224=""),"",MIN(1,MIN(N($F224),$E224)+($E224-MIN(N($F224),$E224))*(1-$I224)))</f>
        <v/>
      </c>
      <c r="U224" s="23" t="str">
        <f aca="false">IF(OR($T224="",$Q224=""),"",1-(1-$T224)^$Q224)</f>
        <v/>
      </c>
      <c r="V224" s="23" t="str">
        <f aca="false">IF($M224&lt;&gt;"",$M224,IF($G224="","",MAX(1,(Setup!$B$6/$G224)^Setup!$B$7)))</f>
        <v/>
      </c>
      <c r="W224" s="22" t="str">
        <f aca="false">IF(COUNT($J224:$L224)&lt;3,"",Setup!$B$10*(6-$J224)+Setup!$B$11*$K224+Setup!$B$12*$L224)</f>
        <v/>
      </c>
      <c r="X224" s="23" t="str">
        <f aca="false">IF($W224="","",IF(LEFT(Setup!$B$15,1)="B",EXP(Setup!$B$14*($W224-1)),1+Setup!$B$14*($W224-1)))</f>
        <v/>
      </c>
      <c r="Y224" s="23" t="str">
        <f aca="false">IF($N224&lt;&gt;"",$N224,$X224)</f>
        <v/>
      </c>
      <c r="Z224" s="22" t="str">
        <f aca="false">IF(OR($H224="",$U224="",$V224=""),"",$H224*$U224*$V224)</f>
        <v/>
      </c>
      <c r="AA224" s="22" t="str">
        <f aca="false">IF(OR($Z224="",$Y224=""),"",$Z224*$Y224)</f>
        <v/>
      </c>
      <c r="AB224" s="1" t="str">
        <f aca="false">IF($A224="","",IF(OR($E224="",$G224="",$H224="",$I224="",AND($N224="",COUNT($J224:$L224)&lt;3)),"Missing: "&amp;IF($E224="","P ","")&amp;IF($G224="","T ","")&amp;IF($H224="","I ","")&amp;IF($I224="","C ","")&amp;IF(AND($N224="",COUNT($J224:$L224)&lt;3),"C_ctrl/C_ext/C_irr",""),IF(N($F224)&gt;$E224,"P_floor &gt; P (floor capped at P)","OK")))</f>
        <v/>
      </c>
      <c r="AC224" s="1" t="str">
        <f aca="false">IF($AA224="","",$AA224+ROW()/1000000)</f>
        <v/>
      </c>
      <c r="AD224" s="18" t="n">
        <f aca="false">IF(AND($A224&lt;&gt;"",ISNUMBER($AA224)),1,0)</f>
        <v>0</v>
      </c>
      <c r="AE224" s="18" t="n">
        <f aca="false">IF($AD224=1,$H224,0)</f>
        <v>0</v>
      </c>
      <c r="AF224" s="18" t="n">
        <f aca="false">IF($AD224=1,$E224,0)</f>
        <v>0</v>
      </c>
      <c r="AG224" s="18" t="n">
        <f aca="false">IF($AD224=1,MIN(N($F224),$E224),0)</f>
        <v>0</v>
      </c>
      <c r="AH224" s="18" t="n">
        <f aca="false">IF($AD224=1,$I224,0)</f>
        <v>0</v>
      </c>
      <c r="AI224" s="18" t="n">
        <f aca="false">IF($AD224=1,$G224,1)</f>
        <v>1</v>
      </c>
      <c r="AJ224" s="18" t="n">
        <f aca="false">IF($AD224=1,$V224,1)</f>
        <v>1</v>
      </c>
      <c r="AK224" s="18" t="n">
        <f aca="false">IF($AD224=1,$Y224,1)</f>
        <v>1</v>
      </c>
    </row>
    <row r="225" customFormat="false" ht="15" hidden="false" customHeight="false" outlineLevel="0" collapsed="false">
      <c r="A225" s="10"/>
      <c r="B225" s="10"/>
      <c r="C225" s="12"/>
      <c r="D225" s="17"/>
      <c r="E225" s="13"/>
      <c r="F225" s="21"/>
      <c r="G225" s="12"/>
      <c r="H225" s="12"/>
      <c r="I225" s="12"/>
      <c r="J225" s="12"/>
      <c r="K225" s="12"/>
      <c r="L225" s="12"/>
      <c r="M225" s="15"/>
      <c r="N225" s="15"/>
      <c r="O225" s="12"/>
      <c r="P225" s="17"/>
      <c r="Q225" s="22" t="str">
        <f aca="false">IF(OR($G225="",Setup!$B$5=""),"",Setup!$B$5/$G225)</f>
        <v/>
      </c>
      <c r="R225" s="23" t="str">
        <f aca="false">IF(OR($E225="",$Q225=""),"",1-(1-$E225)^$Q225)</f>
        <v/>
      </c>
      <c r="S225" s="22" t="str">
        <f aca="false">IF(OR($R225="",$H225=""),"",$H225*$R225)</f>
        <v/>
      </c>
      <c r="T225" s="23" t="str">
        <f aca="false">IF(OR($E225="",$I225=""),"",MIN(1,MIN(N($F225),$E225)+($E225-MIN(N($F225),$E225))*(1-$I225)))</f>
        <v/>
      </c>
      <c r="U225" s="23" t="str">
        <f aca="false">IF(OR($T225="",$Q225=""),"",1-(1-$T225)^$Q225)</f>
        <v/>
      </c>
      <c r="V225" s="23" t="str">
        <f aca="false">IF($M225&lt;&gt;"",$M225,IF($G225="","",MAX(1,(Setup!$B$6/$G225)^Setup!$B$7)))</f>
        <v/>
      </c>
      <c r="W225" s="22" t="str">
        <f aca="false">IF(COUNT($J225:$L225)&lt;3,"",Setup!$B$10*(6-$J225)+Setup!$B$11*$K225+Setup!$B$12*$L225)</f>
        <v/>
      </c>
      <c r="X225" s="23" t="str">
        <f aca="false">IF($W225="","",IF(LEFT(Setup!$B$15,1)="B",EXP(Setup!$B$14*($W225-1)),1+Setup!$B$14*($W225-1)))</f>
        <v/>
      </c>
      <c r="Y225" s="23" t="str">
        <f aca="false">IF($N225&lt;&gt;"",$N225,$X225)</f>
        <v/>
      </c>
      <c r="Z225" s="22" t="str">
        <f aca="false">IF(OR($H225="",$U225="",$V225=""),"",$H225*$U225*$V225)</f>
        <v/>
      </c>
      <c r="AA225" s="22" t="str">
        <f aca="false">IF(OR($Z225="",$Y225=""),"",$Z225*$Y225)</f>
        <v/>
      </c>
      <c r="AB225" s="1" t="str">
        <f aca="false">IF($A225="","",IF(OR($E225="",$G225="",$H225="",$I225="",AND($N225="",COUNT($J225:$L225)&lt;3)),"Missing: "&amp;IF($E225="","P ","")&amp;IF($G225="","T ","")&amp;IF($H225="","I ","")&amp;IF($I225="","C ","")&amp;IF(AND($N225="",COUNT($J225:$L225)&lt;3),"C_ctrl/C_ext/C_irr",""),IF(N($F225)&gt;$E225,"P_floor &gt; P (floor capped at P)","OK")))</f>
        <v/>
      </c>
      <c r="AC225" s="1" t="str">
        <f aca="false">IF($AA225="","",$AA225+ROW()/1000000)</f>
        <v/>
      </c>
      <c r="AD225" s="18" t="n">
        <f aca="false">IF(AND($A225&lt;&gt;"",ISNUMBER($AA225)),1,0)</f>
        <v>0</v>
      </c>
      <c r="AE225" s="18" t="n">
        <f aca="false">IF($AD225=1,$H225,0)</f>
        <v>0</v>
      </c>
      <c r="AF225" s="18" t="n">
        <f aca="false">IF($AD225=1,$E225,0)</f>
        <v>0</v>
      </c>
      <c r="AG225" s="18" t="n">
        <f aca="false">IF($AD225=1,MIN(N($F225),$E225),0)</f>
        <v>0</v>
      </c>
      <c r="AH225" s="18" t="n">
        <f aca="false">IF($AD225=1,$I225,0)</f>
        <v>0</v>
      </c>
      <c r="AI225" s="18" t="n">
        <f aca="false">IF($AD225=1,$G225,1)</f>
        <v>1</v>
      </c>
      <c r="AJ225" s="18" t="n">
        <f aca="false">IF($AD225=1,$V225,1)</f>
        <v>1</v>
      </c>
      <c r="AK225" s="18" t="n">
        <f aca="false">IF($AD225=1,$Y225,1)</f>
        <v>1</v>
      </c>
    </row>
    <row r="226" customFormat="false" ht="15" hidden="false" customHeight="false" outlineLevel="0" collapsed="false">
      <c r="A226" s="10"/>
      <c r="B226" s="10"/>
      <c r="C226" s="12"/>
      <c r="D226" s="17"/>
      <c r="E226" s="13"/>
      <c r="F226" s="21"/>
      <c r="G226" s="12"/>
      <c r="H226" s="12"/>
      <c r="I226" s="12"/>
      <c r="J226" s="12"/>
      <c r="K226" s="12"/>
      <c r="L226" s="12"/>
      <c r="M226" s="15"/>
      <c r="N226" s="15"/>
      <c r="O226" s="12"/>
      <c r="P226" s="17"/>
      <c r="Q226" s="22" t="str">
        <f aca="false">IF(OR($G226="",Setup!$B$5=""),"",Setup!$B$5/$G226)</f>
        <v/>
      </c>
      <c r="R226" s="23" t="str">
        <f aca="false">IF(OR($E226="",$Q226=""),"",1-(1-$E226)^$Q226)</f>
        <v/>
      </c>
      <c r="S226" s="22" t="str">
        <f aca="false">IF(OR($R226="",$H226=""),"",$H226*$R226)</f>
        <v/>
      </c>
      <c r="T226" s="23" t="str">
        <f aca="false">IF(OR($E226="",$I226=""),"",MIN(1,MIN(N($F226),$E226)+($E226-MIN(N($F226),$E226))*(1-$I226)))</f>
        <v/>
      </c>
      <c r="U226" s="23" t="str">
        <f aca="false">IF(OR($T226="",$Q226=""),"",1-(1-$T226)^$Q226)</f>
        <v/>
      </c>
      <c r="V226" s="23" t="str">
        <f aca="false">IF($M226&lt;&gt;"",$M226,IF($G226="","",MAX(1,(Setup!$B$6/$G226)^Setup!$B$7)))</f>
        <v/>
      </c>
      <c r="W226" s="22" t="str">
        <f aca="false">IF(COUNT($J226:$L226)&lt;3,"",Setup!$B$10*(6-$J226)+Setup!$B$11*$K226+Setup!$B$12*$L226)</f>
        <v/>
      </c>
      <c r="X226" s="23" t="str">
        <f aca="false">IF($W226="","",IF(LEFT(Setup!$B$15,1)="B",EXP(Setup!$B$14*($W226-1)),1+Setup!$B$14*($W226-1)))</f>
        <v/>
      </c>
      <c r="Y226" s="23" t="str">
        <f aca="false">IF($N226&lt;&gt;"",$N226,$X226)</f>
        <v/>
      </c>
      <c r="Z226" s="22" t="str">
        <f aca="false">IF(OR($H226="",$U226="",$V226=""),"",$H226*$U226*$V226)</f>
        <v/>
      </c>
      <c r="AA226" s="22" t="str">
        <f aca="false">IF(OR($Z226="",$Y226=""),"",$Z226*$Y226)</f>
        <v/>
      </c>
      <c r="AB226" s="1" t="str">
        <f aca="false">IF($A226="","",IF(OR($E226="",$G226="",$H226="",$I226="",AND($N226="",COUNT($J226:$L226)&lt;3)),"Missing: "&amp;IF($E226="","P ","")&amp;IF($G226="","T ","")&amp;IF($H226="","I ","")&amp;IF($I226="","C ","")&amp;IF(AND($N226="",COUNT($J226:$L226)&lt;3),"C_ctrl/C_ext/C_irr",""),IF(N($F226)&gt;$E226,"P_floor &gt; P (floor capped at P)","OK")))</f>
        <v/>
      </c>
      <c r="AC226" s="1" t="str">
        <f aca="false">IF($AA226="","",$AA226+ROW()/1000000)</f>
        <v/>
      </c>
      <c r="AD226" s="18" t="n">
        <f aca="false">IF(AND($A226&lt;&gt;"",ISNUMBER($AA226)),1,0)</f>
        <v>0</v>
      </c>
      <c r="AE226" s="18" t="n">
        <f aca="false">IF($AD226=1,$H226,0)</f>
        <v>0</v>
      </c>
      <c r="AF226" s="18" t="n">
        <f aca="false">IF($AD226=1,$E226,0)</f>
        <v>0</v>
      </c>
      <c r="AG226" s="18" t="n">
        <f aca="false">IF($AD226=1,MIN(N($F226),$E226),0)</f>
        <v>0</v>
      </c>
      <c r="AH226" s="18" t="n">
        <f aca="false">IF($AD226=1,$I226,0)</f>
        <v>0</v>
      </c>
      <c r="AI226" s="18" t="n">
        <f aca="false">IF($AD226=1,$G226,1)</f>
        <v>1</v>
      </c>
      <c r="AJ226" s="18" t="n">
        <f aca="false">IF($AD226=1,$V226,1)</f>
        <v>1</v>
      </c>
      <c r="AK226" s="18" t="n">
        <f aca="false">IF($AD226=1,$Y226,1)</f>
        <v>1</v>
      </c>
    </row>
    <row r="227" customFormat="false" ht="15" hidden="false" customHeight="false" outlineLevel="0" collapsed="false">
      <c r="A227" s="10"/>
      <c r="B227" s="10"/>
      <c r="C227" s="12"/>
      <c r="D227" s="17"/>
      <c r="E227" s="13"/>
      <c r="F227" s="21"/>
      <c r="G227" s="12"/>
      <c r="H227" s="12"/>
      <c r="I227" s="12"/>
      <c r="J227" s="12"/>
      <c r="K227" s="12"/>
      <c r="L227" s="12"/>
      <c r="M227" s="15"/>
      <c r="N227" s="15"/>
      <c r="O227" s="12"/>
      <c r="P227" s="17"/>
      <c r="Q227" s="22" t="str">
        <f aca="false">IF(OR($G227="",Setup!$B$5=""),"",Setup!$B$5/$G227)</f>
        <v/>
      </c>
      <c r="R227" s="23" t="str">
        <f aca="false">IF(OR($E227="",$Q227=""),"",1-(1-$E227)^$Q227)</f>
        <v/>
      </c>
      <c r="S227" s="22" t="str">
        <f aca="false">IF(OR($R227="",$H227=""),"",$H227*$R227)</f>
        <v/>
      </c>
      <c r="T227" s="23" t="str">
        <f aca="false">IF(OR($E227="",$I227=""),"",MIN(1,MIN(N($F227),$E227)+($E227-MIN(N($F227),$E227))*(1-$I227)))</f>
        <v/>
      </c>
      <c r="U227" s="23" t="str">
        <f aca="false">IF(OR($T227="",$Q227=""),"",1-(1-$T227)^$Q227)</f>
        <v/>
      </c>
      <c r="V227" s="23" t="str">
        <f aca="false">IF($M227&lt;&gt;"",$M227,IF($G227="","",MAX(1,(Setup!$B$6/$G227)^Setup!$B$7)))</f>
        <v/>
      </c>
      <c r="W227" s="22" t="str">
        <f aca="false">IF(COUNT($J227:$L227)&lt;3,"",Setup!$B$10*(6-$J227)+Setup!$B$11*$K227+Setup!$B$12*$L227)</f>
        <v/>
      </c>
      <c r="X227" s="23" t="str">
        <f aca="false">IF($W227="","",IF(LEFT(Setup!$B$15,1)="B",EXP(Setup!$B$14*($W227-1)),1+Setup!$B$14*($W227-1)))</f>
        <v/>
      </c>
      <c r="Y227" s="23" t="str">
        <f aca="false">IF($N227&lt;&gt;"",$N227,$X227)</f>
        <v/>
      </c>
      <c r="Z227" s="22" t="str">
        <f aca="false">IF(OR($H227="",$U227="",$V227=""),"",$H227*$U227*$V227)</f>
        <v/>
      </c>
      <c r="AA227" s="22" t="str">
        <f aca="false">IF(OR($Z227="",$Y227=""),"",$Z227*$Y227)</f>
        <v/>
      </c>
      <c r="AB227" s="1" t="str">
        <f aca="false">IF($A227="","",IF(OR($E227="",$G227="",$H227="",$I227="",AND($N227="",COUNT($J227:$L227)&lt;3)),"Missing: "&amp;IF($E227="","P ","")&amp;IF($G227="","T ","")&amp;IF($H227="","I ","")&amp;IF($I227="","C ","")&amp;IF(AND($N227="",COUNT($J227:$L227)&lt;3),"C_ctrl/C_ext/C_irr",""),IF(N($F227)&gt;$E227,"P_floor &gt; P (floor capped at P)","OK")))</f>
        <v/>
      </c>
      <c r="AC227" s="1" t="str">
        <f aca="false">IF($AA227="","",$AA227+ROW()/1000000)</f>
        <v/>
      </c>
      <c r="AD227" s="18" t="n">
        <f aca="false">IF(AND($A227&lt;&gt;"",ISNUMBER($AA227)),1,0)</f>
        <v>0</v>
      </c>
      <c r="AE227" s="18" t="n">
        <f aca="false">IF($AD227=1,$H227,0)</f>
        <v>0</v>
      </c>
      <c r="AF227" s="18" t="n">
        <f aca="false">IF($AD227=1,$E227,0)</f>
        <v>0</v>
      </c>
      <c r="AG227" s="18" t="n">
        <f aca="false">IF($AD227=1,MIN(N($F227),$E227),0)</f>
        <v>0</v>
      </c>
      <c r="AH227" s="18" t="n">
        <f aca="false">IF($AD227=1,$I227,0)</f>
        <v>0</v>
      </c>
      <c r="AI227" s="18" t="n">
        <f aca="false">IF($AD227=1,$G227,1)</f>
        <v>1</v>
      </c>
      <c r="AJ227" s="18" t="n">
        <f aca="false">IF($AD227=1,$V227,1)</f>
        <v>1</v>
      </c>
      <c r="AK227" s="18" t="n">
        <f aca="false">IF($AD227=1,$Y227,1)</f>
        <v>1</v>
      </c>
    </row>
    <row r="228" customFormat="false" ht="15" hidden="false" customHeight="false" outlineLevel="0" collapsed="false">
      <c r="A228" s="10"/>
      <c r="B228" s="10"/>
      <c r="C228" s="12"/>
      <c r="D228" s="17"/>
      <c r="E228" s="13"/>
      <c r="F228" s="21"/>
      <c r="G228" s="12"/>
      <c r="H228" s="12"/>
      <c r="I228" s="12"/>
      <c r="J228" s="12"/>
      <c r="K228" s="12"/>
      <c r="L228" s="12"/>
      <c r="M228" s="15"/>
      <c r="N228" s="15"/>
      <c r="O228" s="12"/>
      <c r="P228" s="17"/>
      <c r="Q228" s="22" t="str">
        <f aca="false">IF(OR($G228="",Setup!$B$5=""),"",Setup!$B$5/$G228)</f>
        <v/>
      </c>
      <c r="R228" s="23" t="str">
        <f aca="false">IF(OR($E228="",$Q228=""),"",1-(1-$E228)^$Q228)</f>
        <v/>
      </c>
      <c r="S228" s="22" t="str">
        <f aca="false">IF(OR($R228="",$H228=""),"",$H228*$R228)</f>
        <v/>
      </c>
      <c r="T228" s="23" t="str">
        <f aca="false">IF(OR($E228="",$I228=""),"",MIN(1,MIN(N($F228),$E228)+($E228-MIN(N($F228),$E228))*(1-$I228)))</f>
        <v/>
      </c>
      <c r="U228" s="23" t="str">
        <f aca="false">IF(OR($T228="",$Q228=""),"",1-(1-$T228)^$Q228)</f>
        <v/>
      </c>
      <c r="V228" s="23" t="str">
        <f aca="false">IF($M228&lt;&gt;"",$M228,IF($G228="","",MAX(1,(Setup!$B$6/$G228)^Setup!$B$7)))</f>
        <v/>
      </c>
      <c r="W228" s="22" t="str">
        <f aca="false">IF(COUNT($J228:$L228)&lt;3,"",Setup!$B$10*(6-$J228)+Setup!$B$11*$K228+Setup!$B$12*$L228)</f>
        <v/>
      </c>
      <c r="X228" s="23" t="str">
        <f aca="false">IF($W228="","",IF(LEFT(Setup!$B$15,1)="B",EXP(Setup!$B$14*($W228-1)),1+Setup!$B$14*($W228-1)))</f>
        <v/>
      </c>
      <c r="Y228" s="23" t="str">
        <f aca="false">IF($N228&lt;&gt;"",$N228,$X228)</f>
        <v/>
      </c>
      <c r="Z228" s="22" t="str">
        <f aca="false">IF(OR($H228="",$U228="",$V228=""),"",$H228*$U228*$V228)</f>
        <v/>
      </c>
      <c r="AA228" s="22" t="str">
        <f aca="false">IF(OR($Z228="",$Y228=""),"",$Z228*$Y228)</f>
        <v/>
      </c>
      <c r="AB228" s="1" t="str">
        <f aca="false">IF($A228="","",IF(OR($E228="",$G228="",$H228="",$I228="",AND($N228="",COUNT($J228:$L228)&lt;3)),"Missing: "&amp;IF($E228="","P ","")&amp;IF($G228="","T ","")&amp;IF($H228="","I ","")&amp;IF($I228="","C ","")&amp;IF(AND($N228="",COUNT($J228:$L228)&lt;3),"C_ctrl/C_ext/C_irr",""),IF(N($F228)&gt;$E228,"P_floor &gt; P (floor capped at P)","OK")))</f>
        <v/>
      </c>
      <c r="AC228" s="1" t="str">
        <f aca="false">IF($AA228="","",$AA228+ROW()/1000000)</f>
        <v/>
      </c>
      <c r="AD228" s="18" t="n">
        <f aca="false">IF(AND($A228&lt;&gt;"",ISNUMBER($AA228)),1,0)</f>
        <v>0</v>
      </c>
      <c r="AE228" s="18" t="n">
        <f aca="false">IF($AD228=1,$H228,0)</f>
        <v>0</v>
      </c>
      <c r="AF228" s="18" t="n">
        <f aca="false">IF($AD228=1,$E228,0)</f>
        <v>0</v>
      </c>
      <c r="AG228" s="18" t="n">
        <f aca="false">IF($AD228=1,MIN(N($F228),$E228),0)</f>
        <v>0</v>
      </c>
      <c r="AH228" s="18" t="n">
        <f aca="false">IF($AD228=1,$I228,0)</f>
        <v>0</v>
      </c>
      <c r="AI228" s="18" t="n">
        <f aca="false">IF($AD228=1,$G228,1)</f>
        <v>1</v>
      </c>
      <c r="AJ228" s="18" t="n">
        <f aca="false">IF($AD228=1,$V228,1)</f>
        <v>1</v>
      </c>
      <c r="AK228" s="18" t="n">
        <f aca="false">IF($AD228=1,$Y228,1)</f>
        <v>1</v>
      </c>
    </row>
    <row r="229" customFormat="false" ht="15" hidden="false" customHeight="false" outlineLevel="0" collapsed="false">
      <c r="A229" s="10"/>
      <c r="B229" s="10"/>
      <c r="C229" s="12"/>
      <c r="D229" s="17"/>
      <c r="E229" s="13"/>
      <c r="F229" s="21"/>
      <c r="G229" s="12"/>
      <c r="H229" s="12"/>
      <c r="I229" s="12"/>
      <c r="J229" s="12"/>
      <c r="K229" s="12"/>
      <c r="L229" s="12"/>
      <c r="M229" s="15"/>
      <c r="N229" s="15"/>
      <c r="O229" s="12"/>
      <c r="P229" s="17"/>
      <c r="Q229" s="22" t="str">
        <f aca="false">IF(OR($G229="",Setup!$B$5=""),"",Setup!$B$5/$G229)</f>
        <v/>
      </c>
      <c r="R229" s="23" t="str">
        <f aca="false">IF(OR($E229="",$Q229=""),"",1-(1-$E229)^$Q229)</f>
        <v/>
      </c>
      <c r="S229" s="22" t="str">
        <f aca="false">IF(OR($R229="",$H229=""),"",$H229*$R229)</f>
        <v/>
      </c>
      <c r="T229" s="23" t="str">
        <f aca="false">IF(OR($E229="",$I229=""),"",MIN(1,MIN(N($F229),$E229)+($E229-MIN(N($F229),$E229))*(1-$I229)))</f>
        <v/>
      </c>
      <c r="U229" s="23" t="str">
        <f aca="false">IF(OR($T229="",$Q229=""),"",1-(1-$T229)^$Q229)</f>
        <v/>
      </c>
      <c r="V229" s="23" t="str">
        <f aca="false">IF($M229&lt;&gt;"",$M229,IF($G229="","",MAX(1,(Setup!$B$6/$G229)^Setup!$B$7)))</f>
        <v/>
      </c>
      <c r="W229" s="22" t="str">
        <f aca="false">IF(COUNT($J229:$L229)&lt;3,"",Setup!$B$10*(6-$J229)+Setup!$B$11*$K229+Setup!$B$12*$L229)</f>
        <v/>
      </c>
      <c r="X229" s="23" t="str">
        <f aca="false">IF($W229="","",IF(LEFT(Setup!$B$15,1)="B",EXP(Setup!$B$14*($W229-1)),1+Setup!$B$14*($W229-1)))</f>
        <v/>
      </c>
      <c r="Y229" s="23" t="str">
        <f aca="false">IF($N229&lt;&gt;"",$N229,$X229)</f>
        <v/>
      </c>
      <c r="Z229" s="22" t="str">
        <f aca="false">IF(OR($H229="",$U229="",$V229=""),"",$H229*$U229*$V229)</f>
        <v/>
      </c>
      <c r="AA229" s="22" t="str">
        <f aca="false">IF(OR($Z229="",$Y229=""),"",$Z229*$Y229)</f>
        <v/>
      </c>
      <c r="AB229" s="1" t="str">
        <f aca="false">IF($A229="","",IF(OR($E229="",$G229="",$H229="",$I229="",AND($N229="",COUNT($J229:$L229)&lt;3)),"Missing: "&amp;IF($E229="","P ","")&amp;IF($G229="","T ","")&amp;IF($H229="","I ","")&amp;IF($I229="","C ","")&amp;IF(AND($N229="",COUNT($J229:$L229)&lt;3),"C_ctrl/C_ext/C_irr",""),IF(N($F229)&gt;$E229,"P_floor &gt; P (floor capped at P)","OK")))</f>
        <v/>
      </c>
      <c r="AC229" s="1" t="str">
        <f aca="false">IF($AA229="","",$AA229+ROW()/1000000)</f>
        <v/>
      </c>
      <c r="AD229" s="18" t="n">
        <f aca="false">IF(AND($A229&lt;&gt;"",ISNUMBER($AA229)),1,0)</f>
        <v>0</v>
      </c>
      <c r="AE229" s="18" t="n">
        <f aca="false">IF($AD229=1,$H229,0)</f>
        <v>0</v>
      </c>
      <c r="AF229" s="18" t="n">
        <f aca="false">IF($AD229=1,$E229,0)</f>
        <v>0</v>
      </c>
      <c r="AG229" s="18" t="n">
        <f aca="false">IF($AD229=1,MIN(N($F229),$E229),0)</f>
        <v>0</v>
      </c>
      <c r="AH229" s="18" t="n">
        <f aca="false">IF($AD229=1,$I229,0)</f>
        <v>0</v>
      </c>
      <c r="AI229" s="18" t="n">
        <f aca="false">IF($AD229=1,$G229,1)</f>
        <v>1</v>
      </c>
      <c r="AJ229" s="18" t="n">
        <f aca="false">IF($AD229=1,$V229,1)</f>
        <v>1</v>
      </c>
      <c r="AK229" s="18" t="n">
        <f aca="false">IF($AD229=1,$Y229,1)</f>
        <v>1</v>
      </c>
    </row>
    <row r="230" customFormat="false" ht="15" hidden="false" customHeight="false" outlineLevel="0" collapsed="false">
      <c r="A230" s="10"/>
      <c r="B230" s="10"/>
      <c r="C230" s="12"/>
      <c r="D230" s="17"/>
      <c r="E230" s="13"/>
      <c r="F230" s="21"/>
      <c r="G230" s="12"/>
      <c r="H230" s="12"/>
      <c r="I230" s="12"/>
      <c r="J230" s="12"/>
      <c r="K230" s="12"/>
      <c r="L230" s="12"/>
      <c r="M230" s="15"/>
      <c r="N230" s="15"/>
      <c r="O230" s="12"/>
      <c r="P230" s="17"/>
      <c r="Q230" s="22" t="str">
        <f aca="false">IF(OR($G230="",Setup!$B$5=""),"",Setup!$B$5/$G230)</f>
        <v/>
      </c>
      <c r="R230" s="23" t="str">
        <f aca="false">IF(OR($E230="",$Q230=""),"",1-(1-$E230)^$Q230)</f>
        <v/>
      </c>
      <c r="S230" s="22" t="str">
        <f aca="false">IF(OR($R230="",$H230=""),"",$H230*$R230)</f>
        <v/>
      </c>
      <c r="T230" s="23" t="str">
        <f aca="false">IF(OR($E230="",$I230=""),"",MIN(1,MIN(N($F230),$E230)+($E230-MIN(N($F230),$E230))*(1-$I230)))</f>
        <v/>
      </c>
      <c r="U230" s="23" t="str">
        <f aca="false">IF(OR($T230="",$Q230=""),"",1-(1-$T230)^$Q230)</f>
        <v/>
      </c>
      <c r="V230" s="23" t="str">
        <f aca="false">IF($M230&lt;&gt;"",$M230,IF($G230="","",MAX(1,(Setup!$B$6/$G230)^Setup!$B$7)))</f>
        <v/>
      </c>
      <c r="W230" s="22" t="str">
        <f aca="false">IF(COUNT($J230:$L230)&lt;3,"",Setup!$B$10*(6-$J230)+Setup!$B$11*$K230+Setup!$B$12*$L230)</f>
        <v/>
      </c>
      <c r="X230" s="23" t="str">
        <f aca="false">IF($W230="","",IF(LEFT(Setup!$B$15,1)="B",EXP(Setup!$B$14*($W230-1)),1+Setup!$B$14*($W230-1)))</f>
        <v/>
      </c>
      <c r="Y230" s="23" t="str">
        <f aca="false">IF($N230&lt;&gt;"",$N230,$X230)</f>
        <v/>
      </c>
      <c r="Z230" s="22" t="str">
        <f aca="false">IF(OR($H230="",$U230="",$V230=""),"",$H230*$U230*$V230)</f>
        <v/>
      </c>
      <c r="AA230" s="22" t="str">
        <f aca="false">IF(OR($Z230="",$Y230=""),"",$Z230*$Y230)</f>
        <v/>
      </c>
      <c r="AB230" s="1" t="str">
        <f aca="false">IF($A230="","",IF(OR($E230="",$G230="",$H230="",$I230="",AND($N230="",COUNT($J230:$L230)&lt;3)),"Missing: "&amp;IF($E230="","P ","")&amp;IF($G230="","T ","")&amp;IF($H230="","I ","")&amp;IF($I230="","C ","")&amp;IF(AND($N230="",COUNT($J230:$L230)&lt;3),"C_ctrl/C_ext/C_irr",""),IF(N($F230)&gt;$E230,"P_floor &gt; P (floor capped at P)","OK")))</f>
        <v/>
      </c>
      <c r="AC230" s="1" t="str">
        <f aca="false">IF($AA230="","",$AA230+ROW()/1000000)</f>
        <v/>
      </c>
      <c r="AD230" s="18" t="n">
        <f aca="false">IF(AND($A230&lt;&gt;"",ISNUMBER($AA230)),1,0)</f>
        <v>0</v>
      </c>
      <c r="AE230" s="18" t="n">
        <f aca="false">IF($AD230=1,$H230,0)</f>
        <v>0</v>
      </c>
      <c r="AF230" s="18" t="n">
        <f aca="false">IF($AD230=1,$E230,0)</f>
        <v>0</v>
      </c>
      <c r="AG230" s="18" t="n">
        <f aca="false">IF($AD230=1,MIN(N($F230),$E230),0)</f>
        <v>0</v>
      </c>
      <c r="AH230" s="18" t="n">
        <f aca="false">IF($AD230=1,$I230,0)</f>
        <v>0</v>
      </c>
      <c r="AI230" s="18" t="n">
        <f aca="false">IF($AD230=1,$G230,1)</f>
        <v>1</v>
      </c>
      <c r="AJ230" s="18" t="n">
        <f aca="false">IF($AD230=1,$V230,1)</f>
        <v>1</v>
      </c>
      <c r="AK230" s="18" t="n">
        <f aca="false">IF($AD230=1,$Y230,1)</f>
        <v>1</v>
      </c>
    </row>
    <row r="231" customFormat="false" ht="15" hidden="false" customHeight="false" outlineLevel="0" collapsed="false">
      <c r="A231" s="10"/>
      <c r="B231" s="10"/>
      <c r="C231" s="12"/>
      <c r="D231" s="17"/>
      <c r="E231" s="13"/>
      <c r="F231" s="21"/>
      <c r="G231" s="12"/>
      <c r="H231" s="12"/>
      <c r="I231" s="12"/>
      <c r="J231" s="12"/>
      <c r="K231" s="12"/>
      <c r="L231" s="12"/>
      <c r="M231" s="15"/>
      <c r="N231" s="15"/>
      <c r="O231" s="12"/>
      <c r="P231" s="17"/>
      <c r="Q231" s="22" t="str">
        <f aca="false">IF(OR($G231="",Setup!$B$5=""),"",Setup!$B$5/$G231)</f>
        <v/>
      </c>
      <c r="R231" s="23" t="str">
        <f aca="false">IF(OR($E231="",$Q231=""),"",1-(1-$E231)^$Q231)</f>
        <v/>
      </c>
      <c r="S231" s="22" t="str">
        <f aca="false">IF(OR($R231="",$H231=""),"",$H231*$R231)</f>
        <v/>
      </c>
      <c r="T231" s="23" t="str">
        <f aca="false">IF(OR($E231="",$I231=""),"",MIN(1,MIN(N($F231),$E231)+($E231-MIN(N($F231),$E231))*(1-$I231)))</f>
        <v/>
      </c>
      <c r="U231" s="23" t="str">
        <f aca="false">IF(OR($T231="",$Q231=""),"",1-(1-$T231)^$Q231)</f>
        <v/>
      </c>
      <c r="V231" s="23" t="str">
        <f aca="false">IF($M231&lt;&gt;"",$M231,IF($G231="","",MAX(1,(Setup!$B$6/$G231)^Setup!$B$7)))</f>
        <v/>
      </c>
      <c r="W231" s="22" t="str">
        <f aca="false">IF(COUNT($J231:$L231)&lt;3,"",Setup!$B$10*(6-$J231)+Setup!$B$11*$K231+Setup!$B$12*$L231)</f>
        <v/>
      </c>
      <c r="X231" s="23" t="str">
        <f aca="false">IF($W231="","",IF(LEFT(Setup!$B$15,1)="B",EXP(Setup!$B$14*($W231-1)),1+Setup!$B$14*($W231-1)))</f>
        <v/>
      </c>
      <c r="Y231" s="23" t="str">
        <f aca="false">IF($N231&lt;&gt;"",$N231,$X231)</f>
        <v/>
      </c>
      <c r="Z231" s="22" t="str">
        <f aca="false">IF(OR($H231="",$U231="",$V231=""),"",$H231*$U231*$V231)</f>
        <v/>
      </c>
      <c r="AA231" s="22" t="str">
        <f aca="false">IF(OR($Z231="",$Y231=""),"",$Z231*$Y231)</f>
        <v/>
      </c>
      <c r="AB231" s="1" t="str">
        <f aca="false">IF($A231="","",IF(OR($E231="",$G231="",$H231="",$I231="",AND($N231="",COUNT($J231:$L231)&lt;3)),"Missing: "&amp;IF($E231="","P ","")&amp;IF($G231="","T ","")&amp;IF($H231="","I ","")&amp;IF($I231="","C ","")&amp;IF(AND($N231="",COUNT($J231:$L231)&lt;3),"C_ctrl/C_ext/C_irr",""),IF(N($F231)&gt;$E231,"P_floor &gt; P (floor capped at P)","OK")))</f>
        <v/>
      </c>
      <c r="AC231" s="1" t="str">
        <f aca="false">IF($AA231="","",$AA231+ROW()/1000000)</f>
        <v/>
      </c>
      <c r="AD231" s="18" t="n">
        <f aca="false">IF(AND($A231&lt;&gt;"",ISNUMBER($AA231)),1,0)</f>
        <v>0</v>
      </c>
      <c r="AE231" s="18" t="n">
        <f aca="false">IF($AD231=1,$H231,0)</f>
        <v>0</v>
      </c>
      <c r="AF231" s="18" t="n">
        <f aca="false">IF($AD231=1,$E231,0)</f>
        <v>0</v>
      </c>
      <c r="AG231" s="18" t="n">
        <f aca="false">IF($AD231=1,MIN(N($F231),$E231),0)</f>
        <v>0</v>
      </c>
      <c r="AH231" s="18" t="n">
        <f aca="false">IF($AD231=1,$I231,0)</f>
        <v>0</v>
      </c>
      <c r="AI231" s="18" t="n">
        <f aca="false">IF($AD231=1,$G231,1)</f>
        <v>1</v>
      </c>
      <c r="AJ231" s="18" t="n">
        <f aca="false">IF($AD231=1,$V231,1)</f>
        <v>1</v>
      </c>
      <c r="AK231" s="18" t="n">
        <f aca="false">IF($AD231=1,$Y231,1)</f>
        <v>1</v>
      </c>
    </row>
    <row r="232" customFormat="false" ht="15" hidden="false" customHeight="false" outlineLevel="0" collapsed="false">
      <c r="A232" s="10"/>
      <c r="B232" s="10"/>
      <c r="C232" s="12"/>
      <c r="D232" s="17"/>
      <c r="E232" s="13"/>
      <c r="F232" s="21"/>
      <c r="G232" s="12"/>
      <c r="H232" s="12"/>
      <c r="I232" s="12"/>
      <c r="J232" s="12"/>
      <c r="K232" s="12"/>
      <c r="L232" s="12"/>
      <c r="M232" s="15"/>
      <c r="N232" s="15"/>
      <c r="O232" s="12"/>
      <c r="P232" s="17"/>
      <c r="Q232" s="22" t="str">
        <f aca="false">IF(OR($G232="",Setup!$B$5=""),"",Setup!$B$5/$G232)</f>
        <v/>
      </c>
      <c r="R232" s="23" t="str">
        <f aca="false">IF(OR($E232="",$Q232=""),"",1-(1-$E232)^$Q232)</f>
        <v/>
      </c>
      <c r="S232" s="22" t="str">
        <f aca="false">IF(OR($R232="",$H232=""),"",$H232*$R232)</f>
        <v/>
      </c>
      <c r="T232" s="23" t="str">
        <f aca="false">IF(OR($E232="",$I232=""),"",MIN(1,MIN(N($F232),$E232)+($E232-MIN(N($F232),$E232))*(1-$I232)))</f>
        <v/>
      </c>
      <c r="U232" s="23" t="str">
        <f aca="false">IF(OR($T232="",$Q232=""),"",1-(1-$T232)^$Q232)</f>
        <v/>
      </c>
      <c r="V232" s="23" t="str">
        <f aca="false">IF($M232&lt;&gt;"",$M232,IF($G232="","",MAX(1,(Setup!$B$6/$G232)^Setup!$B$7)))</f>
        <v/>
      </c>
      <c r="W232" s="22" t="str">
        <f aca="false">IF(COUNT($J232:$L232)&lt;3,"",Setup!$B$10*(6-$J232)+Setup!$B$11*$K232+Setup!$B$12*$L232)</f>
        <v/>
      </c>
      <c r="X232" s="23" t="str">
        <f aca="false">IF($W232="","",IF(LEFT(Setup!$B$15,1)="B",EXP(Setup!$B$14*($W232-1)),1+Setup!$B$14*($W232-1)))</f>
        <v/>
      </c>
      <c r="Y232" s="23" t="str">
        <f aca="false">IF($N232&lt;&gt;"",$N232,$X232)</f>
        <v/>
      </c>
      <c r="Z232" s="22" t="str">
        <f aca="false">IF(OR($H232="",$U232="",$V232=""),"",$H232*$U232*$V232)</f>
        <v/>
      </c>
      <c r="AA232" s="22" t="str">
        <f aca="false">IF(OR($Z232="",$Y232=""),"",$Z232*$Y232)</f>
        <v/>
      </c>
      <c r="AB232" s="1" t="str">
        <f aca="false">IF($A232="","",IF(OR($E232="",$G232="",$H232="",$I232="",AND($N232="",COUNT($J232:$L232)&lt;3)),"Missing: "&amp;IF($E232="","P ","")&amp;IF($G232="","T ","")&amp;IF($H232="","I ","")&amp;IF($I232="","C ","")&amp;IF(AND($N232="",COUNT($J232:$L232)&lt;3),"C_ctrl/C_ext/C_irr",""),IF(N($F232)&gt;$E232,"P_floor &gt; P (floor capped at P)","OK")))</f>
        <v/>
      </c>
      <c r="AC232" s="1" t="str">
        <f aca="false">IF($AA232="","",$AA232+ROW()/1000000)</f>
        <v/>
      </c>
      <c r="AD232" s="18" t="n">
        <f aca="false">IF(AND($A232&lt;&gt;"",ISNUMBER($AA232)),1,0)</f>
        <v>0</v>
      </c>
      <c r="AE232" s="18" t="n">
        <f aca="false">IF($AD232=1,$H232,0)</f>
        <v>0</v>
      </c>
      <c r="AF232" s="18" t="n">
        <f aca="false">IF($AD232=1,$E232,0)</f>
        <v>0</v>
      </c>
      <c r="AG232" s="18" t="n">
        <f aca="false">IF($AD232=1,MIN(N($F232),$E232),0)</f>
        <v>0</v>
      </c>
      <c r="AH232" s="18" t="n">
        <f aca="false">IF($AD232=1,$I232,0)</f>
        <v>0</v>
      </c>
      <c r="AI232" s="18" t="n">
        <f aca="false">IF($AD232=1,$G232,1)</f>
        <v>1</v>
      </c>
      <c r="AJ232" s="18" t="n">
        <f aca="false">IF($AD232=1,$V232,1)</f>
        <v>1</v>
      </c>
      <c r="AK232" s="18" t="n">
        <f aca="false">IF($AD232=1,$Y232,1)</f>
        <v>1</v>
      </c>
    </row>
    <row r="233" customFormat="false" ht="15" hidden="false" customHeight="false" outlineLevel="0" collapsed="false">
      <c r="A233" s="10"/>
      <c r="B233" s="10"/>
      <c r="C233" s="12"/>
      <c r="D233" s="17"/>
      <c r="E233" s="13"/>
      <c r="F233" s="21"/>
      <c r="G233" s="12"/>
      <c r="H233" s="12"/>
      <c r="I233" s="12"/>
      <c r="J233" s="12"/>
      <c r="K233" s="12"/>
      <c r="L233" s="12"/>
      <c r="M233" s="15"/>
      <c r="N233" s="15"/>
      <c r="O233" s="12"/>
      <c r="P233" s="17"/>
      <c r="Q233" s="22" t="str">
        <f aca="false">IF(OR($G233="",Setup!$B$5=""),"",Setup!$B$5/$G233)</f>
        <v/>
      </c>
      <c r="R233" s="23" t="str">
        <f aca="false">IF(OR($E233="",$Q233=""),"",1-(1-$E233)^$Q233)</f>
        <v/>
      </c>
      <c r="S233" s="22" t="str">
        <f aca="false">IF(OR($R233="",$H233=""),"",$H233*$R233)</f>
        <v/>
      </c>
      <c r="T233" s="23" t="str">
        <f aca="false">IF(OR($E233="",$I233=""),"",MIN(1,MIN(N($F233),$E233)+($E233-MIN(N($F233),$E233))*(1-$I233)))</f>
        <v/>
      </c>
      <c r="U233" s="23" t="str">
        <f aca="false">IF(OR($T233="",$Q233=""),"",1-(1-$T233)^$Q233)</f>
        <v/>
      </c>
      <c r="V233" s="23" t="str">
        <f aca="false">IF($M233&lt;&gt;"",$M233,IF($G233="","",MAX(1,(Setup!$B$6/$G233)^Setup!$B$7)))</f>
        <v/>
      </c>
      <c r="W233" s="22" t="str">
        <f aca="false">IF(COUNT($J233:$L233)&lt;3,"",Setup!$B$10*(6-$J233)+Setup!$B$11*$K233+Setup!$B$12*$L233)</f>
        <v/>
      </c>
      <c r="X233" s="23" t="str">
        <f aca="false">IF($W233="","",IF(LEFT(Setup!$B$15,1)="B",EXP(Setup!$B$14*($W233-1)),1+Setup!$B$14*($W233-1)))</f>
        <v/>
      </c>
      <c r="Y233" s="23" t="str">
        <f aca="false">IF($N233&lt;&gt;"",$N233,$X233)</f>
        <v/>
      </c>
      <c r="Z233" s="22" t="str">
        <f aca="false">IF(OR($H233="",$U233="",$V233=""),"",$H233*$U233*$V233)</f>
        <v/>
      </c>
      <c r="AA233" s="22" t="str">
        <f aca="false">IF(OR($Z233="",$Y233=""),"",$Z233*$Y233)</f>
        <v/>
      </c>
      <c r="AB233" s="1" t="str">
        <f aca="false">IF($A233="","",IF(OR($E233="",$G233="",$H233="",$I233="",AND($N233="",COUNT($J233:$L233)&lt;3)),"Missing: "&amp;IF($E233="","P ","")&amp;IF($G233="","T ","")&amp;IF($H233="","I ","")&amp;IF($I233="","C ","")&amp;IF(AND($N233="",COUNT($J233:$L233)&lt;3),"C_ctrl/C_ext/C_irr",""),IF(N($F233)&gt;$E233,"P_floor &gt; P (floor capped at P)","OK")))</f>
        <v/>
      </c>
      <c r="AC233" s="1" t="str">
        <f aca="false">IF($AA233="","",$AA233+ROW()/1000000)</f>
        <v/>
      </c>
      <c r="AD233" s="18" t="n">
        <f aca="false">IF(AND($A233&lt;&gt;"",ISNUMBER($AA233)),1,0)</f>
        <v>0</v>
      </c>
      <c r="AE233" s="18" t="n">
        <f aca="false">IF($AD233=1,$H233,0)</f>
        <v>0</v>
      </c>
      <c r="AF233" s="18" t="n">
        <f aca="false">IF($AD233=1,$E233,0)</f>
        <v>0</v>
      </c>
      <c r="AG233" s="18" t="n">
        <f aca="false">IF($AD233=1,MIN(N($F233),$E233),0)</f>
        <v>0</v>
      </c>
      <c r="AH233" s="18" t="n">
        <f aca="false">IF($AD233=1,$I233,0)</f>
        <v>0</v>
      </c>
      <c r="AI233" s="18" t="n">
        <f aca="false">IF($AD233=1,$G233,1)</f>
        <v>1</v>
      </c>
      <c r="AJ233" s="18" t="n">
        <f aca="false">IF($AD233=1,$V233,1)</f>
        <v>1</v>
      </c>
      <c r="AK233" s="18" t="n">
        <f aca="false">IF($AD233=1,$Y233,1)</f>
        <v>1</v>
      </c>
    </row>
    <row r="234" customFormat="false" ht="15" hidden="false" customHeight="false" outlineLevel="0" collapsed="false">
      <c r="A234" s="10"/>
      <c r="B234" s="10"/>
      <c r="C234" s="12"/>
      <c r="D234" s="17"/>
      <c r="E234" s="13"/>
      <c r="F234" s="21"/>
      <c r="G234" s="12"/>
      <c r="H234" s="12"/>
      <c r="I234" s="12"/>
      <c r="J234" s="12"/>
      <c r="K234" s="12"/>
      <c r="L234" s="12"/>
      <c r="M234" s="15"/>
      <c r="N234" s="15"/>
      <c r="O234" s="12"/>
      <c r="P234" s="17"/>
      <c r="Q234" s="22" t="str">
        <f aca="false">IF(OR($G234="",Setup!$B$5=""),"",Setup!$B$5/$G234)</f>
        <v/>
      </c>
      <c r="R234" s="23" t="str">
        <f aca="false">IF(OR($E234="",$Q234=""),"",1-(1-$E234)^$Q234)</f>
        <v/>
      </c>
      <c r="S234" s="22" t="str">
        <f aca="false">IF(OR($R234="",$H234=""),"",$H234*$R234)</f>
        <v/>
      </c>
      <c r="T234" s="23" t="str">
        <f aca="false">IF(OR($E234="",$I234=""),"",MIN(1,MIN(N($F234),$E234)+($E234-MIN(N($F234),$E234))*(1-$I234)))</f>
        <v/>
      </c>
      <c r="U234" s="23" t="str">
        <f aca="false">IF(OR($T234="",$Q234=""),"",1-(1-$T234)^$Q234)</f>
        <v/>
      </c>
      <c r="V234" s="23" t="str">
        <f aca="false">IF($M234&lt;&gt;"",$M234,IF($G234="","",MAX(1,(Setup!$B$6/$G234)^Setup!$B$7)))</f>
        <v/>
      </c>
      <c r="W234" s="22" t="str">
        <f aca="false">IF(COUNT($J234:$L234)&lt;3,"",Setup!$B$10*(6-$J234)+Setup!$B$11*$K234+Setup!$B$12*$L234)</f>
        <v/>
      </c>
      <c r="X234" s="23" t="str">
        <f aca="false">IF($W234="","",IF(LEFT(Setup!$B$15,1)="B",EXP(Setup!$B$14*($W234-1)),1+Setup!$B$14*($W234-1)))</f>
        <v/>
      </c>
      <c r="Y234" s="23" t="str">
        <f aca="false">IF($N234&lt;&gt;"",$N234,$X234)</f>
        <v/>
      </c>
      <c r="Z234" s="22" t="str">
        <f aca="false">IF(OR($H234="",$U234="",$V234=""),"",$H234*$U234*$V234)</f>
        <v/>
      </c>
      <c r="AA234" s="22" t="str">
        <f aca="false">IF(OR($Z234="",$Y234=""),"",$Z234*$Y234)</f>
        <v/>
      </c>
      <c r="AB234" s="1" t="str">
        <f aca="false">IF($A234="","",IF(OR($E234="",$G234="",$H234="",$I234="",AND($N234="",COUNT($J234:$L234)&lt;3)),"Missing: "&amp;IF($E234="","P ","")&amp;IF($G234="","T ","")&amp;IF($H234="","I ","")&amp;IF($I234="","C ","")&amp;IF(AND($N234="",COUNT($J234:$L234)&lt;3),"C_ctrl/C_ext/C_irr",""),IF(N($F234)&gt;$E234,"P_floor &gt; P (floor capped at P)","OK")))</f>
        <v/>
      </c>
      <c r="AC234" s="1" t="str">
        <f aca="false">IF($AA234="","",$AA234+ROW()/1000000)</f>
        <v/>
      </c>
      <c r="AD234" s="18" t="n">
        <f aca="false">IF(AND($A234&lt;&gt;"",ISNUMBER($AA234)),1,0)</f>
        <v>0</v>
      </c>
      <c r="AE234" s="18" t="n">
        <f aca="false">IF($AD234=1,$H234,0)</f>
        <v>0</v>
      </c>
      <c r="AF234" s="18" t="n">
        <f aca="false">IF($AD234=1,$E234,0)</f>
        <v>0</v>
      </c>
      <c r="AG234" s="18" t="n">
        <f aca="false">IF($AD234=1,MIN(N($F234),$E234),0)</f>
        <v>0</v>
      </c>
      <c r="AH234" s="18" t="n">
        <f aca="false">IF($AD234=1,$I234,0)</f>
        <v>0</v>
      </c>
      <c r="AI234" s="18" t="n">
        <f aca="false">IF($AD234=1,$G234,1)</f>
        <v>1</v>
      </c>
      <c r="AJ234" s="18" t="n">
        <f aca="false">IF($AD234=1,$V234,1)</f>
        <v>1</v>
      </c>
      <c r="AK234" s="18" t="n">
        <f aca="false">IF($AD234=1,$Y234,1)</f>
        <v>1</v>
      </c>
    </row>
    <row r="235" customFormat="false" ht="15" hidden="false" customHeight="false" outlineLevel="0" collapsed="false">
      <c r="A235" s="10"/>
      <c r="B235" s="10"/>
      <c r="C235" s="12"/>
      <c r="D235" s="17"/>
      <c r="E235" s="13"/>
      <c r="F235" s="21"/>
      <c r="G235" s="12"/>
      <c r="H235" s="12"/>
      <c r="I235" s="12"/>
      <c r="J235" s="12"/>
      <c r="K235" s="12"/>
      <c r="L235" s="12"/>
      <c r="M235" s="15"/>
      <c r="N235" s="15"/>
      <c r="O235" s="12"/>
      <c r="P235" s="17"/>
      <c r="Q235" s="22" t="str">
        <f aca="false">IF(OR($G235="",Setup!$B$5=""),"",Setup!$B$5/$G235)</f>
        <v/>
      </c>
      <c r="R235" s="23" t="str">
        <f aca="false">IF(OR($E235="",$Q235=""),"",1-(1-$E235)^$Q235)</f>
        <v/>
      </c>
      <c r="S235" s="22" t="str">
        <f aca="false">IF(OR($R235="",$H235=""),"",$H235*$R235)</f>
        <v/>
      </c>
      <c r="T235" s="23" t="str">
        <f aca="false">IF(OR($E235="",$I235=""),"",MIN(1,MIN(N($F235),$E235)+($E235-MIN(N($F235),$E235))*(1-$I235)))</f>
        <v/>
      </c>
      <c r="U235" s="23" t="str">
        <f aca="false">IF(OR($T235="",$Q235=""),"",1-(1-$T235)^$Q235)</f>
        <v/>
      </c>
      <c r="V235" s="23" t="str">
        <f aca="false">IF($M235&lt;&gt;"",$M235,IF($G235="","",MAX(1,(Setup!$B$6/$G235)^Setup!$B$7)))</f>
        <v/>
      </c>
      <c r="W235" s="22" t="str">
        <f aca="false">IF(COUNT($J235:$L235)&lt;3,"",Setup!$B$10*(6-$J235)+Setup!$B$11*$K235+Setup!$B$12*$L235)</f>
        <v/>
      </c>
      <c r="X235" s="23" t="str">
        <f aca="false">IF($W235="","",IF(LEFT(Setup!$B$15,1)="B",EXP(Setup!$B$14*($W235-1)),1+Setup!$B$14*($W235-1)))</f>
        <v/>
      </c>
      <c r="Y235" s="23" t="str">
        <f aca="false">IF($N235&lt;&gt;"",$N235,$X235)</f>
        <v/>
      </c>
      <c r="Z235" s="22" t="str">
        <f aca="false">IF(OR($H235="",$U235="",$V235=""),"",$H235*$U235*$V235)</f>
        <v/>
      </c>
      <c r="AA235" s="22" t="str">
        <f aca="false">IF(OR($Z235="",$Y235=""),"",$Z235*$Y235)</f>
        <v/>
      </c>
      <c r="AB235" s="1" t="str">
        <f aca="false">IF($A235="","",IF(OR($E235="",$G235="",$H235="",$I235="",AND($N235="",COUNT($J235:$L235)&lt;3)),"Missing: "&amp;IF($E235="","P ","")&amp;IF($G235="","T ","")&amp;IF($H235="","I ","")&amp;IF($I235="","C ","")&amp;IF(AND($N235="",COUNT($J235:$L235)&lt;3),"C_ctrl/C_ext/C_irr",""),IF(N($F235)&gt;$E235,"P_floor &gt; P (floor capped at P)","OK")))</f>
        <v/>
      </c>
      <c r="AC235" s="1" t="str">
        <f aca="false">IF($AA235="","",$AA235+ROW()/1000000)</f>
        <v/>
      </c>
      <c r="AD235" s="18" t="n">
        <f aca="false">IF(AND($A235&lt;&gt;"",ISNUMBER($AA235)),1,0)</f>
        <v>0</v>
      </c>
      <c r="AE235" s="18" t="n">
        <f aca="false">IF($AD235=1,$H235,0)</f>
        <v>0</v>
      </c>
      <c r="AF235" s="18" t="n">
        <f aca="false">IF($AD235=1,$E235,0)</f>
        <v>0</v>
      </c>
      <c r="AG235" s="18" t="n">
        <f aca="false">IF($AD235=1,MIN(N($F235),$E235),0)</f>
        <v>0</v>
      </c>
      <c r="AH235" s="18" t="n">
        <f aca="false">IF($AD235=1,$I235,0)</f>
        <v>0</v>
      </c>
      <c r="AI235" s="18" t="n">
        <f aca="false">IF($AD235=1,$G235,1)</f>
        <v>1</v>
      </c>
      <c r="AJ235" s="18" t="n">
        <f aca="false">IF($AD235=1,$V235,1)</f>
        <v>1</v>
      </c>
      <c r="AK235" s="18" t="n">
        <f aca="false">IF($AD235=1,$Y235,1)</f>
        <v>1</v>
      </c>
    </row>
    <row r="236" customFormat="false" ht="15" hidden="false" customHeight="false" outlineLevel="0" collapsed="false">
      <c r="A236" s="10"/>
      <c r="B236" s="10"/>
      <c r="C236" s="12"/>
      <c r="D236" s="17"/>
      <c r="E236" s="13"/>
      <c r="F236" s="21"/>
      <c r="G236" s="12"/>
      <c r="H236" s="12"/>
      <c r="I236" s="12"/>
      <c r="J236" s="12"/>
      <c r="K236" s="12"/>
      <c r="L236" s="12"/>
      <c r="M236" s="15"/>
      <c r="N236" s="15"/>
      <c r="O236" s="12"/>
      <c r="P236" s="17"/>
      <c r="Q236" s="22" t="str">
        <f aca="false">IF(OR($G236="",Setup!$B$5=""),"",Setup!$B$5/$G236)</f>
        <v/>
      </c>
      <c r="R236" s="23" t="str">
        <f aca="false">IF(OR($E236="",$Q236=""),"",1-(1-$E236)^$Q236)</f>
        <v/>
      </c>
      <c r="S236" s="22" t="str">
        <f aca="false">IF(OR($R236="",$H236=""),"",$H236*$R236)</f>
        <v/>
      </c>
      <c r="T236" s="23" t="str">
        <f aca="false">IF(OR($E236="",$I236=""),"",MIN(1,MIN(N($F236),$E236)+($E236-MIN(N($F236),$E236))*(1-$I236)))</f>
        <v/>
      </c>
      <c r="U236" s="23" t="str">
        <f aca="false">IF(OR($T236="",$Q236=""),"",1-(1-$T236)^$Q236)</f>
        <v/>
      </c>
      <c r="V236" s="23" t="str">
        <f aca="false">IF($M236&lt;&gt;"",$M236,IF($G236="","",MAX(1,(Setup!$B$6/$G236)^Setup!$B$7)))</f>
        <v/>
      </c>
      <c r="W236" s="22" t="str">
        <f aca="false">IF(COUNT($J236:$L236)&lt;3,"",Setup!$B$10*(6-$J236)+Setup!$B$11*$K236+Setup!$B$12*$L236)</f>
        <v/>
      </c>
      <c r="X236" s="23" t="str">
        <f aca="false">IF($W236="","",IF(LEFT(Setup!$B$15,1)="B",EXP(Setup!$B$14*($W236-1)),1+Setup!$B$14*($W236-1)))</f>
        <v/>
      </c>
      <c r="Y236" s="23" t="str">
        <f aca="false">IF($N236&lt;&gt;"",$N236,$X236)</f>
        <v/>
      </c>
      <c r="Z236" s="22" t="str">
        <f aca="false">IF(OR($H236="",$U236="",$V236=""),"",$H236*$U236*$V236)</f>
        <v/>
      </c>
      <c r="AA236" s="22" t="str">
        <f aca="false">IF(OR($Z236="",$Y236=""),"",$Z236*$Y236)</f>
        <v/>
      </c>
      <c r="AB236" s="1" t="str">
        <f aca="false">IF($A236="","",IF(OR($E236="",$G236="",$H236="",$I236="",AND($N236="",COUNT($J236:$L236)&lt;3)),"Missing: "&amp;IF($E236="","P ","")&amp;IF($G236="","T ","")&amp;IF($H236="","I ","")&amp;IF($I236="","C ","")&amp;IF(AND($N236="",COUNT($J236:$L236)&lt;3),"C_ctrl/C_ext/C_irr",""),IF(N($F236)&gt;$E236,"P_floor &gt; P (floor capped at P)","OK")))</f>
        <v/>
      </c>
      <c r="AC236" s="1" t="str">
        <f aca="false">IF($AA236="","",$AA236+ROW()/1000000)</f>
        <v/>
      </c>
      <c r="AD236" s="18" t="n">
        <f aca="false">IF(AND($A236&lt;&gt;"",ISNUMBER($AA236)),1,0)</f>
        <v>0</v>
      </c>
      <c r="AE236" s="18" t="n">
        <f aca="false">IF($AD236=1,$H236,0)</f>
        <v>0</v>
      </c>
      <c r="AF236" s="18" t="n">
        <f aca="false">IF($AD236=1,$E236,0)</f>
        <v>0</v>
      </c>
      <c r="AG236" s="18" t="n">
        <f aca="false">IF($AD236=1,MIN(N($F236),$E236),0)</f>
        <v>0</v>
      </c>
      <c r="AH236" s="18" t="n">
        <f aca="false">IF($AD236=1,$I236,0)</f>
        <v>0</v>
      </c>
      <c r="AI236" s="18" t="n">
        <f aca="false">IF($AD236=1,$G236,1)</f>
        <v>1</v>
      </c>
      <c r="AJ236" s="18" t="n">
        <f aca="false">IF($AD236=1,$V236,1)</f>
        <v>1</v>
      </c>
      <c r="AK236" s="18" t="n">
        <f aca="false">IF($AD236=1,$Y236,1)</f>
        <v>1</v>
      </c>
    </row>
    <row r="237" customFormat="false" ht="15" hidden="false" customHeight="false" outlineLevel="0" collapsed="false">
      <c r="A237" s="10"/>
      <c r="B237" s="10"/>
      <c r="C237" s="12"/>
      <c r="D237" s="17"/>
      <c r="E237" s="13"/>
      <c r="F237" s="21"/>
      <c r="G237" s="12"/>
      <c r="H237" s="12"/>
      <c r="I237" s="12"/>
      <c r="J237" s="12"/>
      <c r="K237" s="12"/>
      <c r="L237" s="12"/>
      <c r="M237" s="15"/>
      <c r="N237" s="15"/>
      <c r="O237" s="12"/>
      <c r="P237" s="17"/>
      <c r="Q237" s="22" t="str">
        <f aca="false">IF(OR($G237="",Setup!$B$5=""),"",Setup!$B$5/$G237)</f>
        <v/>
      </c>
      <c r="R237" s="23" t="str">
        <f aca="false">IF(OR($E237="",$Q237=""),"",1-(1-$E237)^$Q237)</f>
        <v/>
      </c>
      <c r="S237" s="22" t="str">
        <f aca="false">IF(OR($R237="",$H237=""),"",$H237*$R237)</f>
        <v/>
      </c>
      <c r="T237" s="23" t="str">
        <f aca="false">IF(OR($E237="",$I237=""),"",MIN(1,MIN(N($F237),$E237)+($E237-MIN(N($F237),$E237))*(1-$I237)))</f>
        <v/>
      </c>
      <c r="U237" s="23" t="str">
        <f aca="false">IF(OR($T237="",$Q237=""),"",1-(1-$T237)^$Q237)</f>
        <v/>
      </c>
      <c r="V237" s="23" t="str">
        <f aca="false">IF($M237&lt;&gt;"",$M237,IF($G237="","",MAX(1,(Setup!$B$6/$G237)^Setup!$B$7)))</f>
        <v/>
      </c>
      <c r="W237" s="22" t="str">
        <f aca="false">IF(COUNT($J237:$L237)&lt;3,"",Setup!$B$10*(6-$J237)+Setup!$B$11*$K237+Setup!$B$12*$L237)</f>
        <v/>
      </c>
      <c r="X237" s="23" t="str">
        <f aca="false">IF($W237="","",IF(LEFT(Setup!$B$15,1)="B",EXP(Setup!$B$14*($W237-1)),1+Setup!$B$14*($W237-1)))</f>
        <v/>
      </c>
      <c r="Y237" s="23" t="str">
        <f aca="false">IF($N237&lt;&gt;"",$N237,$X237)</f>
        <v/>
      </c>
      <c r="Z237" s="22" t="str">
        <f aca="false">IF(OR($H237="",$U237="",$V237=""),"",$H237*$U237*$V237)</f>
        <v/>
      </c>
      <c r="AA237" s="22" t="str">
        <f aca="false">IF(OR($Z237="",$Y237=""),"",$Z237*$Y237)</f>
        <v/>
      </c>
      <c r="AB237" s="1" t="str">
        <f aca="false">IF($A237="","",IF(OR($E237="",$G237="",$H237="",$I237="",AND($N237="",COUNT($J237:$L237)&lt;3)),"Missing: "&amp;IF($E237="","P ","")&amp;IF($G237="","T ","")&amp;IF($H237="","I ","")&amp;IF($I237="","C ","")&amp;IF(AND($N237="",COUNT($J237:$L237)&lt;3),"C_ctrl/C_ext/C_irr",""),IF(N($F237)&gt;$E237,"P_floor &gt; P (floor capped at P)","OK")))</f>
        <v/>
      </c>
      <c r="AC237" s="1" t="str">
        <f aca="false">IF($AA237="","",$AA237+ROW()/1000000)</f>
        <v/>
      </c>
      <c r="AD237" s="18" t="n">
        <f aca="false">IF(AND($A237&lt;&gt;"",ISNUMBER($AA237)),1,0)</f>
        <v>0</v>
      </c>
      <c r="AE237" s="18" t="n">
        <f aca="false">IF($AD237=1,$H237,0)</f>
        <v>0</v>
      </c>
      <c r="AF237" s="18" t="n">
        <f aca="false">IF($AD237=1,$E237,0)</f>
        <v>0</v>
      </c>
      <c r="AG237" s="18" t="n">
        <f aca="false">IF($AD237=1,MIN(N($F237),$E237),0)</f>
        <v>0</v>
      </c>
      <c r="AH237" s="18" t="n">
        <f aca="false">IF($AD237=1,$I237,0)</f>
        <v>0</v>
      </c>
      <c r="AI237" s="18" t="n">
        <f aca="false">IF($AD237=1,$G237,1)</f>
        <v>1</v>
      </c>
      <c r="AJ237" s="18" t="n">
        <f aca="false">IF($AD237=1,$V237,1)</f>
        <v>1</v>
      </c>
      <c r="AK237" s="18" t="n">
        <f aca="false">IF($AD237=1,$Y237,1)</f>
        <v>1</v>
      </c>
    </row>
    <row r="238" customFormat="false" ht="15" hidden="false" customHeight="false" outlineLevel="0" collapsed="false">
      <c r="A238" s="10"/>
      <c r="B238" s="10"/>
      <c r="C238" s="12"/>
      <c r="D238" s="17"/>
      <c r="E238" s="13"/>
      <c r="F238" s="21"/>
      <c r="G238" s="12"/>
      <c r="H238" s="12"/>
      <c r="I238" s="12"/>
      <c r="J238" s="12"/>
      <c r="K238" s="12"/>
      <c r="L238" s="12"/>
      <c r="M238" s="15"/>
      <c r="N238" s="15"/>
      <c r="O238" s="12"/>
      <c r="P238" s="17"/>
      <c r="Q238" s="22" t="str">
        <f aca="false">IF(OR($G238="",Setup!$B$5=""),"",Setup!$B$5/$G238)</f>
        <v/>
      </c>
      <c r="R238" s="23" t="str">
        <f aca="false">IF(OR($E238="",$Q238=""),"",1-(1-$E238)^$Q238)</f>
        <v/>
      </c>
      <c r="S238" s="22" t="str">
        <f aca="false">IF(OR($R238="",$H238=""),"",$H238*$R238)</f>
        <v/>
      </c>
      <c r="T238" s="23" t="str">
        <f aca="false">IF(OR($E238="",$I238=""),"",MIN(1,MIN(N($F238),$E238)+($E238-MIN(N($F238),$E238))*(1-$I238)))</f>
        <v/>
      </c>
      <c r="U238" s="23" t="str">
        <f aca="false">IF(OR($T238="",$Q238=""),"",1-(1-$T238)^$Q238)</f>
        <v/>
      </c>
      <c r="V238" s="23" t="str">
        <f aca="false">IF($M238&lt;&gt;"",$M238,IF($G238="","",MAX(1,(Setup!$B$6/$G238)^Setup!$B$7)))</f>
        <v/>
      </c>
      <c r="W238" s="22" t="str">
        <f aca="false">IF(COUNT($J238:$L238)&lt;3,"",Setup!$B$10*(6-$J238)+Setup!$B$11*$K238+Setup!$B$12*$L238)</f>
        <v/>
      </c>
      <c r="X238" s="23" t="str">
        <f aca="false">IF($W238="","",IF(LEFT(Setup!$B$15,1)="B",EXP(Setup!$B$14*($W238-1)),1+Setup!$B$14*($W238-1)))</f>
        <v/>
      </c>
      <c r="Y238" s="23" t="str">
        <f aca="false">IF($N238&lt;&gt;"",$N238,$X238)</f>
        <v/>
      </c>
      <c r="Z238" s="22" t="str">
        <f aca="false">IF(OR($H238="",$U238="",$V238=""),"",$H238*$U238*$V238)</f>
        <v/>
      </c>
      <c r="AA238" s="22" t="str">
        <f aca="false">IF(OR($Z238="",$Y238=""),"",$Z238*$Y238)</f>
        <v/>
      </c>
      <c r="AB238" s="1" t="str">
        <f aca="false">IF($A238="","",IF(OR($E238="",$G238="",$H238="",$I238="",AND($N238="",COUNT($J238:$L238)&lt;3)),"Missing: "&amp;IF($E238="","P ","")&amp;IF($G238="","T ","")&amp;IF($H238="","I ","")&amp;IF($I238="","C ","")&amp;IF(AND($N238="",COUNT($J238:$L238)&lt;3),"C_ctrl/C_ext/C_irr",""),IF(N($F238)&gt;$E238,"P_floor &gt; P (floor capped at P)","OK")))</f>
        <v/>
      </c>
      <c r="AC238" s="1" t="str">
        <f aca="false">IF($AA238="","",$AA238+ROW()/1000000)</f>
        <v/>
      </c>
      <c r="AD238" s="18" t="n">
        <f aca="false">IF(AND($A238&lt;&gt;"",ISNUMBER($AA238)),1,0)</f>
        <v>0</v>
      </c>
      <c r="AE238" s="18" t="n">
        <f aca="false">IF($AD238=1,$H238,0)</f>
        <v>0</v>
      </c>
      <c r="AF238" s="18" t="n">
        <f aca="false">IF($AD238=1,$E238,0)</f>
        <v>0</v>
      </c>
      <c r="AG238" s="18" t="n">
        <f aca="false">IF($AD238=1,MIN(N($F238),$E238),0)</f>
        <v>0</v>
      </c>
      <c r="AH238" s="18" t="n">
        <f aca="false">IF($AD238=1,$I238,0)</f>
        <v>0</v>
      </c>
      <c r="AI238" s="18" t="n">
        <f aca="false">IF($AD238=1,$G238,1)</f>
        <v>1</v>
      </c>
      <c r="AJ238" s="18" t="n">
        <f aca="false">IF($AD238=1,$V238,1)</f>
        <v>1</v>
      </c>
      <c r="AK238" s="18" t="n">
        <f aca="false">IF($AD238=1,$Y238,1)</f>
        <v>1</v>
      </c>
    </row>
    <row r="239" customFormat="false" ht="15" hidden="false" customHeight="false" outlineLevel="0" collapsed="false">
      <c r="A239" s="10"/>
      <c r="B239" s="10"/>
      <c r="C239" s="12"/>
      <c r="D239" s="17"/>
      <c r="E239" s="13"/>
      <c r="F239" s="21"/>
      <c r="G239" s="12"/>
      <c r="H239" s="12"/>
      <c r="I239" s="12"/>
      <c r="J239" s="12"/>
      <c r="K239" s="12"/>
      <c r="L239" s="12"/>
      <c r="M239" s="15"/>
      <c r="N239" s="15"/>
      <c r="O239" s="12"/>
      <c r="P239" s="17"/>
      <c r="Q239" s="22" t="str">
        <f aca="false">IF(OR($G239="",Setup!$B$5=""),"",Setup!$B$5/$G239)</f>
        <v/>
      </c>
      <c r="R239" s="23" t="str">
        <f aca="false">IF(OR($E239="",$Q239=""),"",1-(1-$E239)^$Q239)</f>
        <v/>
      </c>
      <c r="S239" s="22" t="str">
        <f aca="false">IF(OR($R239="",$H239=""),"",$H239*$R239)</f>
        <v/>
      </c>
      <c r="T239" s="23" t="str">
        <f aca="false">IF(OR($E239="",$I239=""),"",MIN(1,MIN(N($F239),$E239)+($E239-MIN(N($F239),$E239))*(1-$I239)))</f>
        <v/>
      </c>
      <c r="U239" s="23" t="str">
        <f aca="false">IF(OR($T239="",$Q239=""),"",1-(1-$T239)^$Q239)</f>
        <v/>
      </c>
      <c r="V239" s="23" t="str">
        <f aca="false">IF($M239&lt;&gt;"",$M239,IF($G239="","",MAX(1,(Setup!$B$6/$G239)^Setup!$B$7)))</f>
        <v/>
      </c>
      <c r="W239" s="22" t="str">
        <f aca="false">IF(COUNT($J239:$L239)&lt;3,"",Setup!$B$10*(6-$J239)+Setup!$B$11*$K239+Setup!$B$12*$L239)</f>
        <v/>
      </c>
      <c r="X239" s="23" t="str">
        <f aca="false">IF($W239="","",IF(LEFT(Setup!$B$15,1)="B",EXP(Setup!$B$14*($W239-1)),1+Setup!$B$14*($W239-1)))</f>
        <v/>
      </c>
      <c r="Y239" s="23" t="str">
        <f aca="false">IF($N239&lt;&gt;"",$N239,$X239)</f>
        <v/>
      </c>
      <c r="Z239" s="22" t="str">
        <f aca="false">IF(OR($H239="",$U239="",$V239=""),"",$H239*$U239*$V239)</f>
        <v/>
      </c>
      <c r="AA239" s="22" t="str">
        <f aca="false">IF(OR($Z239="",$Y239=""),"",$Z239*$Y239)</f>
        <v/>
      </c>
      <c r="AB239" s="1" t="str">
        <f aca="false">IF($A239="","",IF(OR($E239="",$G239="",$H239="",$I239="",AND($N239="",COUNT($J239:$L239)&lt;3)),"Missing: "&amp;IF($E239="","P ","")&amp;IF($G239="","T ","")&amp;IF($H239="","I ","")&amp;IF($I239="","C ","")&amp;IF(AND($N239="",COUNT($J239:$L239)&lt;3),"C_ctrl/C_ext/C_irr",""),IF(N($F239)&gt;$E239,"P_floor &gt; P (floor capped at P)","OK")))</f>
        <v/>
      </c>
      <c r="AC239" s="1" t="str">
        <f aca="false">IF($AA239="","",$AA239+ROW()/1000000)</f>
        <v/>
      </c>
      <c r="AD239" s="18" t="n">
        <f aca="false">IF(AND($A239&lt;&gt;"",ISNUMBER($AA239)),1,0)</f>
        <v>0</v>
      </c>
      <c r="AE239" s="18" t="n">
        <f aca="false">IF($AD239=1,$H239,0)</f>
        <v>0</v>
      </c>
      <c r="AF239" s="18" t="n">
        <f aca="false">IF($AD239=1,$E239,0)</f>
        <v>0</v>
      </c>
      <c r="AG239" s="18" t="n">
        <f aca="false">IF($AD239=1,MIN(N($F239),$E239),0)</f>
        <v>0</v>
      </c>
      <c r="AH239" s="18" t="n">
        <f aca="false">IF($AD239=1,$I239,0)</f>
        <v>0</v>
      </c>
      <c r="AI239" s="18" t="n">
        <f aca="false">IF($AD239=1,$G239,1)</f>
        <v>1</v>
      </c>
      <c r="AJ239" s="18" t="n">
        <f aca="false">IF($AD239=1,$V239,1)</f>
        <v>1</v>
      </c>
      <c r="AK239" s="18" t="n">
        <f aca="false">IF($AD239=1,$Y239,1)</f>
        <v>1</v>
      </c>
    </row>
    <row r="240" customFormat="false" ht="15" hidden="false" customHeight="false" outlineLevel="0" collapsed="false">
      <c r="A240" s="10"/>
      <c r="B240" s="10"/>
      <c r="C240" s="12"/>
      <c r="D240" s="17"/>
      <c r="E240" s="13"/>
      <c r="F240" s="21"/>
      <c r="G240" s="12"/>
      <c r="H240" s="12"/>
      <c r="I240" s="12"/>
      <c r="J240" s="12"/>
      <c r="K240" s="12"/>
      <c r="L240" s="12"/>
      <c r="M240" s="15"/>
      <c r="N240" s="15"/>
      <c r="O240" s="12"/>
      <c r="P240" s="17"/>
      <c r="Q240" s="22" t="str">
        <f aca="false">IF(OR($G240="",Setup!$B$5=""),"",Setup!$B$5/$G240)</f>
        <v/>
      </c>
      <c r="R240" s="23" t="str">
        <f aca="false">IF(OR($E240="",$Q240=""),"",1-(1-$E240)^$Q240)</f>
        <v/>
      </c>
      <c r="S240" s="22" t="str">
        <f aca="false">IF(OR($R240="",$H240=""),"",$H240*$R240)</f>
        <v/>
      </c>
      <c r="T240" s="23" t="str">
        <f aca="false">IF(OR($E240="",$I240=""),"",MIN(1,MIN(N($F240),$E240)+($E240-MIN(N($F240),$E240))*(1-$I240)))</f>
        <v/>
      </c>
      <c r="U240" s="23" t="str">
        <f aca="false">IF(OR($T240="",$Q240=""),"",1-(1-$T240)^$Q240)</f>
        <v/>
      </c>
      <c r="V240" s="23" t="str">
        <f aca="false">IF($M240&lt;&gt;"",$M240,IF($G240="","",MAX(1,(Setup!$B$6/$G240)^Setup!$B$7)))</f>
        <v/>
      </c>
      <c r="W240" s="22" t="str">
        <f aca="false">IF(COUNT($J240:$L240)&lt;3,"",Setup!$B$10*(6-$J240)+Setup!$B$11*$K240+Setup!$B$12*$L240)</f>
        <v/>
      </c>
      <c r="X240" s="23" t="str">
        <f aca="false">IF($W240="","",IF(LEFT(Setup!$B$15,1)="B",EXP(Setup!$B$14*($W240-1)),1+Setup!$B$14*($W240-1)))</f>
        <v/>
      </c>
      <c r="Y240" s="23" t="str">
        <f aca="false">IF($N240&lt;&gt;"",$N240,$X240)</f>
        <v/>
      </c>
      <c r="Z240" s="22" t="str">
        <f aca="false">IF(OR($H240="",$U240="",$V240=""),"",$H240*$U240*$V240)</f>
        <v/>
      </c>
      <c r="AA240" s="22" t="str">
        <f aca="false">IF(OR($Z240="",$Y240=""),"",$Z240*$Y240)</f>
        <v/>
      </c>
      <c r="AB240" s="1" t="str">
        <f aca="false">IF($A240="","",IF(OR($E240="",$G240="",$H240="",$I240="",AND($N240="",COUNT($J240:$L240)&lt;3)),"Missing: "&amp;IF($E240="","P ","")&amp;IF($G240="","T ","")&amp;IF($H240="","I ","")&amp;IF($I240="","C ","")&amp;IF(AND($N240="",COUNT($J240:$L240)&lt;3),"C_ctrl/C_ext/C_irr",""),IF(N($F240)&gt;$E240,"P_floor &gt; P (floor capped at P)","OK")))</f>
        <v/>
      </c>
      <c r="AC240" s="1" t="str">
        <f aca="false">IF($AA240="","",$AA240+ROW()/1000000)</f>
        <v/>
      </c>
      <c r="AD240" s="18" t="n">
        <f aca="false">IF(AND($A240&lt;&gt;"",ISNUMBER($AA240)),1,0)</f>
        <v>0</v>
      </c>
      <c r="AE240" s="18" t="n">
        <f aca="false">IF($AD240=1,$H240,0)</f>
        <v>0</v>
      </c>
      <c r="AF240" s="18" t="n">
        <f aca="false">IF($AD240=1,$E240,0)</f>
        <v>0</v>
      </c>
      <c r="AG240" s="18" t="n">
        <f aca="false">IF($AD240=1,MIN(N($F240),$E240),0)</f>
        <v>0</v>
      </c>
      <c r="AH240" s="18" t="n">
        <f aca="false">IF($AD240=1,$I240,0)</f>
        <v>0</v>
      </c>
      <c r="AI240" s="18" t="n">
        <f aca="false">IF($AD240=1,$G240,1)</f>
        <v>1</v>
      </c>
      <c r="AJ240" s="18" t="n">
        <f aca="false">IF($AD240=1,$V240,1)</f>
        <v>1</v>
      </c>
      <c r="AK240" s="18" t="n">
        <f aca="false">IF($AD240=1,$Y240,1)</f>
        <v>1</v>
      </c>
    </row>
    <row r="241" customFormat="false" ht="15" hidden="false" customHeight="false" outlineLevel="0" collapsed="false">
      <c r="A241" s="10"/>
      <c r="B241" s="10"/>
      <c r="C241" s="12"/>
      <c r="D241" s="17"/>
      <c r="E241" s="13"/>
      <c r="F241" s="21"/>
      <c r="G241" s="12"/>
      <c r="H241" s="12"/>
      <c r="I241" s="12"/>
      <c r="J241" s="12"/>
      <c r="K241" s="12"/>
      <c r="L241" s="12"/>
      <c r="M241" s="15"/>
      <c r="N241" s="15"/>
      <c r="O241" s="12"/>
      <c r="P241" s="17"/>
      <c r="Q241" s="22" t="str">
        <f aca="false">IF(OR($G241="",Setup!$B$5=""),"",Setup!$B$5/$G241)</f>
        <v/>
      </c>
      <c r="R241" s="23" t="str">
        <f aca="false">IF(OR($E241="",$Q241=""),"",1-(1-$E241)^$Q241)</f>
        <v/>
      </c>
      <c r="S241" s="22" t="str">
        <f aca="false">IF(OR($R241="",$H241=""),"",$H241*$R241)</f>
        <v/>
      </c>
      <c r="T241" s="23" t="str">
        <f aca="false">IF(OR($E241="",$I241=""),"",MIN(1,MIN(N($F241),$E241)+($E241-MIN(N($F241),$E241))*(1-$I241)))</f>
        <v/>
      </c>
      <c r="U241" s="23" t="str">
        <f aca="false">IF(OR($T241="",$Q241=""),"",1-(1-$T241)^$Q241)</f>
        <v/>
      </c>
      <c r="V241" s="23" t="str">
        <f aca="false">IF($M241&lt;&gt;"",$M241,IF($G241="","",MAX(1,(Setup!$B$6/$G241)^Setup!$B$7)))</f>
        <v/>
      </c>
      <c r="W241" s="22" t="str">
        <f aca="false">IF(COUNT($J241:$L241)&lt;3,"",Setup!$B$10*(6-$J241)+Setup!$B$11*$K241+Setup!$B$12*$L241)</f>
        <v/>
      </c>
      <c r="X241" s="23" t="str">
        <f aca="false">IF($W241="","",IF(LEFT(Setup!$B$15,1)="B",EXP(Setup!$B$14*($W241-1)),1+Setup!$B$14*($W241-1)))</f>
        <v/>
      </c>
      <c r="Y241" s="23" t="str">
        <f aca="false">IF($N241&lt;&gt;"",$N241,$X241)</f>
        <v/>
      </c>
      <c r="Z241" s="22" t="str">
        <f aca="false">IF(OR($H241="",$U241="",$V241=""),"",$H241*$U241*$V241)</f>
        <v/>
      </c>
      <c r="AA241" s="22" t="str">
        <f aca="false">IF(OR($Z241="",$Y241=""),"",$Z241*$Y241)</f>
        <v/>
      </c>
      <c r="AB241" s="1" t="str">
        <f aca="false">IF($A241="","",IF(OR($E241="",$G241="",$H241="",$I241="",AND($N241="",COUNT($J241:$L241)&lt;3)),"Missing: "&amp;IF($E241="","P ","")&amp;IF($G241="","T ","")&amp;IF($H241="","I ","")&amp;IF($I241="","C ","")&amp;IF(AND($N241="",COUNT($J241:$L241)&lt;3),"C_ctrl/C_ext/C_irr",""),IF(N($F241)&gt;$E241,"P_floor &gt; P (floor capped at P)","OK")))</f>
        <v/>
      </c>
      <c r="AC241" s="1" t="str">
        <f aca="false">IF($AA241="","",$AA241+ROW()/1000000)</f>
        <v/>
      </c>
      <c r="AD241" s="18" t="n">
        <f aca="false">IF(AND($A241&lt;&gt;"",ISNUMBER($AA241)),1,0)</f>
        <v>0</v>
      </c>
      <c r="AE241" s="18" t="n">
        <f aca="false">IF($AD241=1,$H241,0)</f>
        <v>0</v>
      </c>
      <c r="AF241" s="18" t="n">
        <f aca="false">IF($AD241=1,$E241,0)</f>
        <v>0</v>
      </c>
      <c r="AG241" s="18" t="n">
        <f aca="false">IF($AD241=1,MIN(N($F241),$E241),0)</f>
        <v>0</v>
      </c>
      <c r="AH241" s="18" t="n">
        <f aca="false">IF($AD241=1,$I241,0)</f>
        <v>0</v>
      </c>
      <c r="AI241" s="18" t="n">
        <f aca="false">IF($AD241=1,$G241,1)</f>
        <v>1</v>
      </c>
      <c r="AJ241" s="18" t="n">
        <f aca="false">IF($AD241=1,$V241,1)</f>
        <v>1</v>
      </c>
      <c r="AK241" s="18" t="n">
        <f aca="false">IF($AD241=1,$Y241,1)</f>
        <v>1</v>
      </c>
    </row>
    <row r="242" customFormat="false" ht="15" hidden="false" customHeight="false" outlineLevel="0" collapsed="false">
      <c r="A242" s="10"/>
      <c r="B242" s="10"/>
      <c r="C242" s="12"/>
      <c r="D242" s="17"/>
      <c r="E242" s="13"/>
      <c r="F242" s="21"/>
      <c r="G242" s="12"/>
      <c r="H242" s="12"/>
      <c r="I242" s="12"/>
      <c r="J242" s="12"/>
      <c r="K242" s="12"/>
      <c r="L242" s="12"/>
      <c r="M242" s="15"/>
      <c r="N242" s="15"/>
      <c r="O242" s="12"/>
      <c r="P242" s="17"/>
      <c r="Q242" s="22" t="str">
        <f aca="false">IF(OR($G242="",Setup!$B$5=""),"",Setup!$B$5/$G242)</f>
        <v/>
      </c>
      <c r="R242" s="23" t="str">
        <f aca="false">IF(OR($E242="",$Q242=""),"",1-(1-$E242)^$Q242)</f>
        <v/>
      </c>
      <c r="S242" s="22" t="str">
        <f aca="false">IF(OR($R242="",$H242=""),"",$H242*$R242)</f>
        <v/>
      </c>
      <c r="T242" s="23" t="str">
        <f aca="false">IF(OR($E242="",$I242=""),"",MIN(1,MIN(N($F242),$E242)+($E242-MIN(N($F242),$E242))*(1-$I242)))</f>
        <v/>
      </c>
      <c r="U242" s="23" t="str">
        <f aca="false">IF(OR($T242="",$Q242=""),"",1-(1-$T242)^$Q242)</f>
        <v/>
      </c>
      <c r="V242" s="23" t="str">
        <f aca="false">IF($M242&lt;&gt;"",$M242,IF($G242="","",MAX(1,(Setup!$B$6/$G242)^Setup!$B$7)))</f>
        <v/>
      </c>
      <c r="W242" s="22" t="str">
        <f aca="false">IF(COUNT($J242:$L242)&lt;3,"",Setup!$B$10*(6-$J242)+Setup!$B$11*$K242+Setup!$B$12*$L242)</f>
        <v/>
      </c>
      <c r="X242" s="23" t="str">
        <f aca="false">IF($W242="","",IF(LEFT(Setup!$B$15,1)="B",EXP(Setup!$B$14*($W242-1)),1+Setup!$B$14*($W242-1)))</f>
        <v/>
      </c>
      <c r="Y242" s="23" t="str">
        <f aca="false">IF($N242&lt;&gt;"",$N242,$X242)</f>
        <v/>
      </c>
      <c r="Z242" s="22" t="str">
        <f aca="false">IF(OR($H242="",$U242="",$V242=""),"",$H242*$U242*$V242)</f>
        <v/>
      </c>
      <c r="AA242" s="22" t="str">
        <f aca="false">IF(OR($Z242="",$Y242=""),"",$Z242*$Y242)</f>
        <v/>
      </c>
      <c r="AB242" s="1" t="str">
        <f aca="false">IF($A242="","",IF(OR($E242="",$G242="",$H242="",$I242="",AND($N242="",COUNT($J242:$L242)&lt;3)),"Missing: "&amp;IF($E242="","P ","")&amp;IF($G242="","T ","")&amp;IF($H242="","I ","")&amp;IF($I242="","C ","")&amp;IF(AND($N242="",COUNT($J242:$L242)&lt;3),"C_ctrl/C_ext/C_irr",""),IF(N($F242)&gt;$E242,"P_floor &gt; P (floor capped at P)","OK")))</f>
        <v/>
      </c>
      <c r="AC242" s="1" t="str">
        <f aca="false">IF($AA242="","",$AA242+ROW()/1000000)</f>
        <v/>
      </c>
      <c r="AD242" s="18" t="n">
        <f aca="false">IF(AND($A242&lt;&gt;"",ISNUMBER($AA242)),1,0)</f>
        <v>0</v>
      </c>
      <c r="AE242" s="18" t="n">
        <f aca="false">IF($AD242=1,$H242,0)</f>
        <v>0</v>
      </c>
      <c r="AF242" s="18" t="n">
        <f aca="false">IF($AD242=1,$E242,0)</f>
        <v>0</v>
      </c>
      <c r="AG242" s="18" t="n">
        <f aca="false">IF($AD242=1,MIN(N($F242),$E242),0)</f>
        <v>0</v>
      </c>
      <c r="AH242" s="18" t="n">
        <f aca="false">IF($AD242=1,$I242,0)</f>
        <v>0</v>
      </c>
      <c r="AI242" s="18" t="n">
        <f aca="false">IF($AD242=1,$G242,1)</f>
        <v>1</v>
      </c>
      <c r="AJ242" s="18" t="n">
        <f aca="false">IF($AD242=1,$V242,1)</f>
        <v>1</v>
      </c>
      <c r="AK242" s="18" t="n">
        <f aca="false">IF($AD242=1,$Y242,1)</f>
        <v>1</v>
      </c>
    </row>
    <row r="243" customFormat="false" ht="15" hidden="false" customHeight="false" outlineLevel="0" collapsed="false">
      <c r="A243" s="10"/>
      <c r="B243" s="10"/>
      <c r="C243" s="12"/>
      <c r="D243" s="17"/>
      <c r="E243" s="13"/>
      <c r="F243" s="21"/>
      <c r="G243" s="12"/>
      <c r="H243" s="12"/>
      <c r="I243" s="12"/>
      <c r="J243" s="12"/>
      <c r="K243" s="12"/>
      <c r="L243" s="12"/>
      <c r="M243" s="15"/>
      <c r="N243" s="15"/>
      <c r="O243" s="12"/>
      <c r="P243" s="17"/>
      <c r="Q243" s="22" t="str">
        <f aca="false">IF(OR($G243="",Setup!$B$5=""),"",Setup!$B$5/$G243)</f>
        <v/>
      </c>
      <c r="R243" s="23" t="str">
        <f aca="false">IF(OR($E243="",$Q243=""),"",1-(1-$E243)^$Q243)</f>
        <v/>
      </c>
      <c r="S243" s="22" t="str">
        <f aca="false">IF(OR($R243="",$H243=""),"",$H243*$R243)</f>
        <v/>
      </c>
      <c r="T243" s="23" t="str">
        <f aca="false">IF(OR($E243="",$I243=""),"",MIN(1,MIN(N($F243),$E243)+($E243-MIN(N($F243),$E243))*(1-$I243)))</f>
        <v/>
      </c>
      <c r="U243" s="23" t="str">
        <f aca="false">IF(OR($T243="",$Q243=""),"",1-(1-$T243)^$Q243)</f>
        <v/>
      </c>
      <c r="V243" s="23" t="str">
        <f aca="false">IF($M243&lt;&gt;"",$M243,IF($G243="","",MAX(1,(Setup!$B$6/$G243)^Setup!$B$7)))</f>
        <v/>
      </c>
      <c r="W243" s="22" t="str">
        <f aca="false">IF(COUNT($J243:$L243)&lt;3,"",Setup!$B$10*(6-$J243)+Setup!$B$11*$K243+Setup!$B$12*$L243)</f>
        <v/>
      </c>
      <c r="X243" s="23" t="str">
        <f aca="false">IF($W243="","",IF(LEFT(Setup!$B$15,1)="B",EXP(Setup!$B$14*($W243-1)),1+Setup!$B$14*($W243-1)))</f>
        <v/>
      </c>
      <c r="Y243" s="23" t="str">
        <f aca="false">IF($N243&lt;&gt;"",$N243,$X243)</f>
        <v/>
      </c>
      <c r="Z243" s="22" t="str">
        <f aca="false">IF(OR($H243="",$U243="",$V243=""),"",$H243*$U243*$V243)</f>
        <v/>
      </c>
      <c r="AA243" s="22" t="str">
        <f aca="false">IF(OR($Z243="",$Y243=""),"",$Z243*$Y243)</f>
        <v/>
      </c>
      <c r="AB243" s="1" t="str">
        <f aca="false">IF($A243="","",IF(OR($E243="",$G243="",$H243="",$I243="",AND($N243="",COUNT($J243:$L243)&lt;3)),"Missing: "&amp;IF($E243="","P ","")&amp;IF($G243="","T ","")&amp;IF($H243="","I ","")&amp;IF($I243="","C ","")&amp;IF(AND($N243="",COUNT($J243:$L243)&lt;3),"C_ctrl/C_ext/C_irr",""),IF(N($F243)&gt;$E243,"P_floor &gt; P (floor capped at P)","OK")))</f>
        <v/>
      </c>
      <c r="AC243" s="1" t="str">
        <f aca="false">IF($AA243="","",$AA243+ROW()/1000000)</f>
        <v/>
      </c>
      <c r="AD243" s="18" t="n">
        <f aca="false">IF(AND($A243&lt;&gt;"",ISNUMBER($AA243)),1,0)</f>
        <v>0</v>
      </c>
      <c r="AE243" s="18" t="n">
        <f aca="false">IF($AD243=1,$H243,0)</f>
        <v>0</v>
      </c>
      <c r="AF243" s="18" t="n">
        <f aca="false">IF($AD243=1,$E243,0)</f>
        <v>0</v>
      </c>
      <c r="AG243" s="18" t="n">
        <f aca="false">IF($AD243=1,MIN(N($F243),$E243),0)</f>
        <v>0</v>
      </c>
      <c r="AH243" s="18" t="n">
        <f aca="false">IF($AD243=1,$I243,0)</f>
        <v>0</v>
      </c>
      <c r="AI243" s="18" t="n">
        <f aca="false">IF($AD243=1,$G243,1)</f>
        <v>1</v>
      </c>
      <c r="AJ243" s="18" t="n">
        <f aca="false">IF($AD243=1,$V243,1)</f>
        <v>1</v>
      </c>
      <c r="AK243" s="18" t="n">
        <f aca="false">IF($AD243=1,$Y243,1)</f>
        <v>1</v>
      </c>
    </row>
    <row r="244" customFormat="false" ht="15" hidden="false" customHeight="false" outlineLevel="0" collapsed="false">
      <c r="A244" s="10"/>
      <c r="B244" s="10"/>
      <c r="C244" s="12"/>
      <c r="D244" s="17"/>
      <c r="E244" s="13"/>
      <c r="F244" s="21"/>
      <c r="G244" s="12"/>
      <c r="H244" s="12"/>
      <c r="I244" s="12"/>
      <c r="J244" s="12"/>
      <c r="K244" s="12"/>
      <c r="L244" s="12"/>
      <c r="M244" s="15"/>
      <c r="N244" s="15"/>
      <c r="O244" s="12"/>
      <c r="P244" s="17"/>
      <c r="Q244" s="22" t="str">
        <f aca="false">IF(OR($G244="",Setup!$B$5=""),"",Setup!$B$5/$G244)</f>
        <v/>
      </c>
      <c r="R244" s="23" t="str">
        <f aca="false">IF(OR($E244="",$Q244=""),"",1-(1-$E244)^$Q244)</f>
        <v/>
      </c>
      <c r="S244" s="22" t="str">
        <f aca="false">IF(OR($R244="",$H244=""),"",$H244*$R244)</f>
        <v/>
      </c>
      <c r="T244" s="23" t="str">
        <f aca="false">IF(OR($E244="",$I244=""),"",MIN(1,MIN(N($F244),$E244)+($E244-MIN(N($F244),$E244))*(1-$I244)))</f>
        <v/>
      </c>
      <c r="U244" s="23" t="str">
        <f aca="false">IF(OR($T244="",$Q244=""),"",1-(1-$T244)^$Q244)</f>
        <v/>
      </c>
      <c r="V244" s="23" t="str">
        <f aca="false">IF($M244&lt;&gt;"",$M244,IF($G244="","",MAX(1,(Setup!$B$6/$G244)^Setup!$B$7)))</f>
        <v/>
      </c>
      <c r="W244" s="22" t="str">
        <f aca="false">IF(COUNT($J244:$L244)&lt;3,"",Setup!$B$10*(6-$J244)+Setup!$B$11*$K244+Setup!$B$12*$L244)</f>
        <v/>
      </c>
      <c r="X244" s="23" t="str">
        <f aca="false">IF($W244="","",IF(LEFT(Setup!$B$15,1)="B",EXP(Setup!$B$14*($W244-1)),1+Setup!$B$14*($W244-1)))</f>
        <v/>
      </c>
      <c r="Y244" s="23" t="str">
        <f aca="false">IF($N244&lt;&gt;"",$N244,$X244)</f>
        <v/>
      </c>
      <c r="Z244" s="22" t="str">
        <f aca="false">IF(OR($H244="",$U244="",$V244=""),"",$H244*$U244*$V244)</f>
        <v/>
      </c>
      <c r="AA244" s="22" t="str">
        <f aca="false">IF(OR($Z244="",$Y244=""),"",$Z244*$Y244)</f>
        <v/>
      </c>
      <c r="AB244" s="1" t="str">
        <f aca="false">IF($A244="","",IF(OR($E244="",$G244="",$H244="",$I244="",AND($N244="",COUNT($J244:$L244)&lt;3)),"Missing: "&amp;IF($E244="","P ","")&amp;IF($G244="","T ","")&amp;IF($H244="","I ","")&amp;IF($I244="","C ","")&amp;IF(AND($N244="",COUNT($J244:$L244)&lt;3),"C_ctrl/C_ext/C_irr",""),IF(N($F244)&gt;$E244,"P_floor &gt; P (floor capped at P)","OK")))</f>
        <v/>
      </c>
      <c r="AC244" s="1" t="str">
        <f aca="false">IF($AA244="","",$AA244+ROW()/1000000)</f>
        <v/>
      </c>
      <c r="AD244" s="18" t="n">
        <f aca="false">IF(AND($A244&lt;&gt;"",ISNUMBER($AA244)),1,0)</f>
        <v>0</v>
      </c>
      <c r="AE244" s="18" t="n">
        <f aca="false">IF($AD244=1,$H244,0)</f>
        <v>0</v>
      </c>
      <c r="AF244" s="18" t="n">
        <f aca="false">IF($AD244=1,$E244,0)</f>
        <v>0</v>
      </c>
      <c r="AG244" s="18" t="n">
        <f aca="false">IF($AD244=1,MIN(N($F244),$E244),0)</f>
        <v>0</v>
      </c>
      <c r="AH244" s="18" t="n">
        <f aca="false">IF($AD244=1,$I244,0)</f>
        <v>0</v>
      </c>
      <c r="AI244" s="18" t="n">
        <f aca="false">IF($AD244=1,$G244,1)</f>
        <v>1</v>
      </c>
      <c r="AJ244" s="18" t="n">
        <f aca="false">IF($AD244=1,$V244,1)</f>
        <v>1</v>
      </c>
      <c r="AK244" s="18" t="n">
        <f aca="false">IF($AD244=1,$Y244,1)</f>
        <v>1</v>
      </c>
    </row>
    <row r="245" customFormat="false" ht="15" hidden="false" customHeight="false" outlineLevel="0" collapsed="false">
      <c r="A245" s="10"/>
      <c r="B245" s="10"/>
      <c r="C245" s="12"/>
      <c r="D245" s="17"/>
      <c r="E245" s="13"/>
      <c r="F245" s="21"/>
      <c r="G245" s="12"/>
      <c r="H245" s="12"/>
      <c r="I245" s="12"/>
      <c r="J245" s="12"/>
      <c r="K245" s="12"/>
      <c r="L245" s="12"/>
      <c r="M245" s="15"/>
      <c r="N245" s="15"/>
      <c r="O245" s="12"/>
      <c r="P245" s="17"/>
      <c r="Q245" s="22" t="str">
        <f aca="false">IF(OR($G245="",Setup!$B$5=""),"",Setup!$B$5/$G245)</f>
        <v/>
      </c>
      <c r="R245" s="23" t="str">
        <f aca="false">IF(OR($E245="",$Q245=""),"",1-(1-$E245)^$Q245)</f>
        <v/>
      </c>
      <c r="S245" s="22" t="str">
        <f aca="false">IF(OR($R245="",$H245=""),"",$H245*$R245)</f>
        <v/>
      </c>
      <c r="T245" s="23" t="str">
        <f aca="false">IF(OR($E245="",$I245=""),"",MIN(1,MIN(N($F245),$E245)+($E245-MIN(N($F245),$E245))*(1-$I245)))</f>
        <v/>
      </c>
      <c r="U245" s="23" t="str">
        <f aca="false">IF(OR($T245="",$Q245=""),"",1-(1-$T245)^$Q245)</f>
        <v/>
      </c>
      <c r="V245" s="23" t="str">
        <f aca="false">IF($M245&lt;&gt;"",$M245,IF($G245="","",MAX(1,(Setup!$B$6/$G245)^Setup!$B$7)))</f>
        <v/>
      </c>
      <c r="W245" s="22" t="str">
        <f aca="false">IF(COUNT($J245:$L245)&lt;3,"",Setup!$B$10*(6-$J245)+Setup!$B$11*$K245+Setup!$B$12*$L245)</f>
        <v/>
      </c>
      <c r="X245" s="23" t="str">
        <f aca="false">IF($W245="","",IF(LEFT(Setup!$B$15,1)="B",EXP(Setup!$B$14*($W245-1)),1+Setup!$B$14*($W245-1)))</f>
        <v/>
      </c>
      <c r="Y245" s="23" t="str">
        <f aca="false">IF($N245&lt;&gt;"",$N245,$X245)</f>
        <v/>
      </c>
      <c r="Z245" s="22" t="str">
        <f aca="false">IF(OR($H245="",$U245="",$V245=""),"",$H245*$U245*$V245)</f>
        <v/>
      </c>
      <c r="AA245" s="22" t="str">
        <f aca="false">IF(OR($Z245="",$Y245=""),"",$Z245*$Y245)</f>
        <v/>
      </c>
      <c r="AB245" s="1" t="str">
        <f aca="false">IF($A245="","",IF(OR($E245="",$G245="",$H245="",$I245="",AND($N245="",COUNT($J245:$L245)&lt;3)),"Missing: "&amp;IF($E245="","P ","")&amp;IF($G245="","T ","")&amp;IF($H245="","I ","")&amp;IF($I245="","C ","")&amp;IF(AND($N245="",COUNT($J245:$L245)&lt;3),"C_ctrl/C_ext/C_irr",""),IF(N($F245)&gt;$E245,"P_floor &gt; P (floor capped at P)","OK")))</f>
        <v/>
      </c>
      <c r="AC245" s="1" t="str">
        <f aca="false">IF($AA245="","",$AA245+ROW()/1000000)</f>
        <v/>
      </c>
      <c r="AD245" s="18" t="n">
        <f aca="false">IF(AND($A245&lt;&gt;"",ISNUMBER($AA245)),1,0)</f>
        <v>0</v>
      </c>
      <c r="AE245" s="18" t="n">
        <f aca="false">IF($AD245=1,$H245,0)</f>
        <v>0</v>
      </c>
      <c r="AF245" s="18" t="n">
        <f aca="false">IF($AD245=1,$E245,0)</f>
        <v>0</v>
      </c>
      <c r="AG245" s="18" t="n">
        <f aca="false">IF($AD245=1,MIN(N($F245),$E245),0)</f>
        <v>0</v>
      </c>
      <c r="AH245" s="18" t="n">
        <f aca="false">IF($AD245=1,$I245,0)</f>
        <v>0</v>
      </c>
      <c r="AI245" s="18" t="n">
        <f aca="false">IF($AD245=1,$G245,1)</f>
        <v>1</v>
      </c>
      <c r="AJ245" s="18" t="n">
        <f aca="false">IF($AD245=1,$V245,1)</f>
        <v>1</v>
      </c>
      <c r="AK245" s="18" t="n">
        <f aca="false">IF($AD245=1,$Y245,1)</f>
        <v>1</v>
      </c>
    </row>
    <row r="246" customFormat="false" ht="15" hidden="false" customHeight="false" outlineLevel="0" collapsed="false">
      <c r="A246" s="10"/>
      <c r="B246" s="10"/>
      <c r="C246" s="12"/>
      <c r="D246" s="17"/>
      <c r="E246" s="13"/>
      <c r="F246" s="21"/>
      <c r="G246" s="12"/>
      <c r="H246" s="12"/>
      <c r="I246" s="12"/>
      <c r="J246" s="12"/>
      <c r="K246" s="12"/>
      <c r="L246" s="12"/>
      <c r="M246" s="15"/>
      <c r="N246" s="15"/>
      <c r="O246" s="12"/>
      <c r="P246" s="17"/>
      <c r="Q246" s="22" t="str">
        <f aca="false">IF(OR($G246="",Setup!$B$5=""),"",Setup!$B$5/$G246)</f>
        <v/>
      </c>
      <c r="R246" s="23" t="str">
        <f aca="false">IF(OR($E246="",$Q246=""),"",1-(1-$E246)^$Q246)</f>
        <v/>
      </c>
      <c r="S246" s="22" t="str">
        <f aca="false">IF(OR($R246="",$H246=""),"",$H246*$R246)</f>
        <v/>
      </c>
      <c r="T246" s="23" t="str">
        <f aca="false">IF(OR($E246="",$I246=""),"",MIN(1,MIN(N($F246),$E246)+($E246-MIN(N($F246),$E246))*(1-$I246)))</f>
        <v/>
      </c>
      <c r="U246" s="23" t="str">
        <f aca="false">IF(OR($T246="",$Q246=""),"",1-(1-$T246)^$Q246)</f>
        <v/>
      </c>
      <c r="V246" s="23" t="str">
        <f aca="false">IF($M246&lt;&gt;"",$M246,IF($G246="","",MAX(1,(Setup!$B$6/$G246)^Setup!$B$7)))</f>
        <v/>
      </c>
      <c r="W246" s="22" t="str">
        <f aca="false">IF(COUNT($J246:$L246)&lt;3,"",Setup!$B$10*(6-$J246)+Setup!$B$11*$K246+Setup!$B$12*$L246)</f>
        <v/>
      </c>
      <c r="X246" s="23" t="str">
        <f aca="false">IF($W246="","",IF(LEFT(Setup!$B$15,1)="B",EXP(Setup!$B$14*($W246-1)),1+Setup!$B$14*($W246-1)))</f>
        <v/>
      </c>
      <c r="Y246" s="23" t="str">
        <f aca="false">IF($N246&lt;&gt;"",$N246,$X246)</f>
        <v/>
      </c>
      <c r="Z246" s="22" t="str">
        <f aca="false">IF(OR($H246="",$U246="",$V246=""),"",$H246*$U246*$V246)</f>
        <v/>
      </c>
      <c r="AA246" s="22" t="str">
        <f aca="false">IF(OR($Z246="",$Y246=""),"",$Z246*$Y246)</f>
        <v/>
      </c>
      <c r="AB246" s="1" t="str">
        <f aca="false">IF($A246="","",IF(OR($E246="",$G246="",$H246="",$I246="",AND($N246="",COUNT($J246:$L246)&lt;3)),"Missing: "&amp;IF($E246="","P ","")&amp;IF($G246="","T ","")&amp;IF($H246="","I ","")&amp;IF($I246="","C ","")&amp;IF(AND($N246="",COUNT($J246:$L246)&lt;3),"C_ctrl/C_ext/C_irr",""),IF(N($F246)&gt;$E246,"P_floor &gt; P (floor capped at P)","OK")))</f>
        <v/>
      </c>
      <c r="AC246" s="1" t="str">
        <f aca="false">IF($AA246="","",$AA246+ROW()/1000000)</f>
        <v/>
      </c>
      <c r="AD246" s="18" t="n">
        <f aca="false">IF(AND($A246&lt;&gt;"",ISNUMBER($AA246)),1,0)</f>
        <v>0</v>
      </c>
      <c r="AE246" s="18" t="n">
        <f aca="false">IF($AD246=1,$H246,0)</f>
        <v>0</v>
      </c>
      <c r="AF246" s="18" t="n">
        <f aca="false">IF($AD246=1,$E246,0)</f>
        <v>0</v>
      </c>
      <c r="AG246" s="18" t="n">
        <f aca="false">IF($AD246=1,MIN(N($F246),$E246),0)</f>
        <v>0</v>
      </c>
      <c r="AH246" s="18" t="n">
        <f aca="false">IF($AD246=1,$I246,0)</f>
        <v>0</v>
      </c>
      <c r="AI246" s="18" t="n">
        <f aca="false">IF($AD246=1,$G246,1)</f>
        <v>1</v>
      </c>
      <c r="AJ246" s="18" t="n">
        <f aca="false">IF($AD246=1,$V246,1)</f>
        <v>1</v>
      </c>
      <c r="AK246" s="18" t="n">
        <f aca="false">IF($AD246=1,$Y246,1)</f>
        <v>1</v>
      </c>
    </row>
    <row r="247" customFormat="false" ht="15" hidden="false" customHeight="false" outlineLevel="0" collapsed="false">
      <c r="A247" s="10"/>
      <c r="B247" s="10"/>
      <c r="C247" s="12"/>
      <c r="D247" s="17"/>
      <c r="E247" s="13"/>
      <c r="F247" s="21"/>
      <c r="G247" s="12"/>
      <c r="H247" s="12"/>
      <c r="I247" s="12"/>
      <c r="J247" s="12"/>
      <c r="K247" s="12"/>
      <c r="L247" s="12"/>
      <c r="M247" s="15"/>
      <c r="N247" s="15"/>
      <c r="O247" s="12"/>
      <c r="P247" s="17"/>
      <c r="Q247" s="22" t="str">
        <f aca="false">IF(OR($G247="",Setup!$B$5=""),"",Setup!$B$5/$G247)</f>
        <v/>
      </c>
      <c r="R247" s="23" t="str">
        <f aca="false">IF(OR($E247="",$Q247=""),"",1-(1-$E247)^$Q247)</f>
        <v/>
      </c>
      <c r="S247" s="22" t="str">
        <f aca="false">IF(OR($R247="",$H247=""),"",$H247*$R247)</f>
        <v/>
      </c>
      <c r="T247" s="23" t="str">
        <f aca="false">IF(OR($E247="",$I247=""),"",MIN(1,MIN(N($F247),$E247)+($E247-MIN(N($F247),$E247))*(1-$I247)))</f>
        <v/>
      </c>
      <c r="U247" s="23" t="str">
        <f aca="false">IF(OR($T247="",$Q247=""),"",1-(1-$T247)^$Q247)</f>
        <v/>
      </c>
      <c r="V247" s="23" t="str">
        <f aca="false">IF($M247&lt;&gt;"",$M247,IF($G247="","",MAX(1,(Setup!$B$6/$G247)^Setup!$B$7)))</f>
        <v/>
      </c>
      <c r="W247" s="22" t="str">
        <f aca="false">IF(COUNT($J247:$L247)&lt;3,"",Setup!$B$10*(6-$J247)+Setup!$B$11*$K247+Setup!$B$12*$L247)</f>
        <v/>
      </c>
      <c r="X247" s="23" t="str">
        <f aca="false">IF($W247="","",IF(LEFT(Setup!$B$15,1)="B",EXP(Setup!$B$14*($W247-1)),1+Setup!$B$14*($W247-1)))</f>
        <v/>
      </c>
      <c r="Y247" s="23" t="str">
        <f aca="false">IF($N247&lt;&gt;"",$N247,$X247)</f>
        <v/>
      </c>
      <c r="Z247" s="22" t="str">
        <f aca="false">IF(OR($H247="",$U247="",$V247=""),"",$H247*$U247*$V247)</f>
        <v/>
      </c>
      <c r="AA247" s="22" t="str">
        <f aca="false">IF(OR($Z247="",$Y247=""),"",$Z247*$Y247)</f>
        <v/>
      </c>
      <c r="AB247" s="1" t="str">
        <f aca="false">IF($A247="","",IF(OR($E247="",$G247="",$H247="",$I247="",AND($N247="",COUNT($J247:$L247)&lt;3)),"Missing: "&amp;IF($E247="","P ","")&amp;IF($G247="","T ","")&amp;IF($H247="","I ","")&amp;IF($I247="","C ","")&amp;IF(AND($N247="",COUNT($J247:$L247)&lt;3),"C_ctrl/C_ext/C_irr",""),IF(N($F247)&gt;$E247,"P_floor &gt; P (floor capped at P)","OK")))</f>
        <v/>
      </c>
      <c r="AC247" s="1" t="str">
        <f aca="false">IF($AA247="","",$AA247+ROW()/1000000)</f>
        <v/>
      </c>
      <c r="AD247" s="18" t="n">
        <f aca="false">IF(AND($A247&lt;&gt;"",ISNUMBER($AA247)),1,0)</f>
        <v>0</v>
      </c>
      <c r="AE247" s="18" t="n">
        <f aca="false">IF($AD247=1,$H247,0)</f>
        <v>0</v>
      </c>
      <c r="AF247" s="18" t="n">
        <f aca="false">IF($AD247=1,$E247,0)</f>
        <v>0</v>
      </c>
      <c r="AG247" s="18" t="n">
        <f aca="false">IF($AD247=1,MIN(N($F247),$E247),0)</f>
        <v>0</v>
      </c>
      <c r="AH247" s="18" t="n">
        <f aca="false">IF($AD247=1,$I247,0)</f>
        <v>0</v>
      </c>
      <c r="AI247" s="18" t="n">
        <f aca="false">IF($AD247=1,$G247,1)</f>
        <v>1</v>
      </c>
      <c r="AJ247" s="18" t="n">
        <f aca="false">IF($AD247=1,$V247,1)</f>
        <v>1</v>
      </c>
      <c r="AK247" s="18" t="n">
        <f aca="false">IF($AD247=1,$Y247,1)</f>
        <v>1</v>
      </c>
    </row>
    <row r="248" customFormat="false" ht="15" hidden="false" customHeight="false" outlineLevel="0" collapsed="false">
      <c r="A248" s="10"/>
      <c r="B248" s="10"/>
      <c r="C248" s="12"/>
      <c r="D248" s="17"/>
      <c r="E248" s="13"/>
      <c r="F248" s="21"/>
      <c r="G248" s="12"/>
      <c r="H248" s="12"/>
      <c r="I248" s="12"/>
      <c r="J248" s="12"/>
      <c r="K248" s="12"/>
      <c r="L248" s="12"/>
      <c r="M248" s="15"/>
      <c r="N248" s="15"/>
      <c r="O248" s="12"/>
      <c r="P248" s="17"/>
      <c r="Q248" s="22" t="str">
        <f aca="false">IF(OR($G248="",Setup!$B$5=""),"",Setup!$B$5/$G248)</f>
        <v/>
      </c>
      <c r="R248" s="23" t="str">
        <f aca="false">IF(OR($E248="",$Q248=""),"",1-(1-$E248)^$Q248)</f>
        <v/>
      </c>
      <c r="S248" s="22" t="str">
        <f aca="false">IF(OR($R248="",$H248=""),"",$H248*$R248)</f>
        <v/>
      </c>
      <c r="T248" s="23" t="str">
        <f aca="false">IF(OR($E248="",$I248=""),"",MIN(1,MIN(N($F248),$E248)+($E248-MIN(N($F248),$E248))*(1-$I248)))</f>
        <v/>
      </c>
      <c r="U248" s="23" t="str">
        <f aca="false">IF(OR($T248="",$Q248=""),"",1-(1-$T248)^$Q248)</f>
        <v/>
      </c>
      <c r="V248" s="23" t="str">
        <f aca="false">IF($M248&lt;&gt;"",$M248,IF($G248="","",MAX(1,(Setup!$B$6/$G248)^Setup!$B$7)))</f>
        <v/>
      </c>
      <c r="W248" s="22" t="str">
        <f aca="false">IF(COUNT($J248:$L248)&lt;3,"",Setup!$B$10*(6-$J248)+Setup!$B$11*$K248+Setup!$B$12*$L248)</f>
        <v/>
      </c>
      <c r="X248" s="23" t="str">
        <f aca="false">IF($W248="","",IF(LEFT(Setup!$B$15,1)="B",EXP(Setup!$B$14*($W248-1)),1+Setup!$B$14*($W248-1)))</f>
        <v/>
      </c>
      <c r="Y248" s="23" t="str">
        <f aca="false">IF($N248&lt;&gt;"",$N248,$X248)</f>
        <v/>
      </c>
      <c r="Z248" s="22" t="str">
        <f aca="false">IF(OR($H248="",$U248="",$V248=""),"",$H248*$U248*$V248)</f>
        <v/>
      </c>
      <c r="AA248" s="22" t="str">
        <f aca="false">IF(OR($Z248="",$Y248=""),"",$Z248*$Y248)</f>
        <v/>
      </c>
      <c r="AB248" s="1" t="str">
        <f aca="false">IF($A248="","",IF(OR($E248="",$G248="",$H248="",$I248="",AND($N248="",COUNT($J248:$L248)&lt;3)),"Missing: "&amp;IF($E248="","P ","")&amp;IF($G248="","T ","")&amp;IF($H248="","I ","")&amp;IF($I248="","C ","")&amp;IF(AND($N248="",COUNT($J248:$L248)&lt;3),"C_ctrl/C_ext/C_irr",""),IF(N($F248)&gt;$E248,"P_floor &gt; P (floor capped at P)","OK")))</f>
        <v/>
      </c>
      <c r="AC248" s="1" t="str">
        <f aca="false">IF($AA248="","",$AA248+ROW()/1000000)</f>
        <v/>
      </c>
      <c r="AD248" s="18" t="n">
        <f aca="false">IF(AND($A248&lt;&gt;"",ISNUMBER($AA248)),1,0)</f>
        <v>0</v>
      </c>
      <c r="AE248" s="18" t="n">
        <f aca="false">IF($AD248=1,$H248,0)</f>
        <v>0</v>
      </c>
      <c r="AF248" s="18" t="n">
        <f aca="false">IF($AD248=1,$E248,0)</f>
        <v>0</v>
      </c>
      <c r="AG248" s="18" t="n">
        <f aca="false">IF($AD248=1,MIN(N($F248),$E248),0)</f>
        <v>0</v>
      </c>
      <c r="AH248" s="18" t="n">
        <f aca="false">IF($AD248=1,$I248,0)</f>
        <v>0</v>
      </c>
      <c r="AI248" s="18" t="n">
        <f aca="false">IF($AD248=1,$G248,1)</f>
        <v>1</v>
      </c>
      <c r="AJ248" s="18" t="n">
        <f aca="false">IF($AD248=1,$V248,1)</f>
        <v>1</v>
      </c>
      <c r="AK248" s="18" t="n">
        <f aca="false">IF($AD248=1,$Y248,1)</f>
        <v>1</v>
      </c>
    </row>
    <row r="249" customFormat="false" ht="15" hidden="false" customHeight="false" outlineLevel="0" collapsed="false">
      <c r="A249" s="10"/>
      <c r="B249" s="10"/>
      <c r="C249" s="12"/>
      <c r="D249" s="17"/>
      <c r="E249" s="13"/>
      <c r="F249" s="21"/>
      <c r="G249" s="12"/>
      <c r="H249" s="12"/>
      <c r="I249" s="12"/>
      <c r="J249" s="12"/>
      <c r="K249" s="12"/>
      <c r="L249" s="12"/>
      <c r="M249" s="15"/>
      <c r="N249" s="15"/>
      <c r="O249" s="12"/>
      <c r="P249" s="17"/>
      <c r="Q249" s="22" t="str">
        <f aca="false">IF(OR($G249="",Setup!$B$5=""),"",Setup!$B$5/$G249)</f>
        <v/>
      </c>
      <c r="R249" s="23" t="str">
        <f aca="false">IF(OR($E249="",$Q249=""),"",1-(1-$E249)^$Q249)</f>
        <v/>
      </c>
      <c r="S249" s="22" t="str">
        <f aca="false">IF(OR($R249="",$H249=""),"",$H249*$R249)</f>
        <v/>
      </c>
      <c r="T249" s="23" t="str">
        <f aca="false">IF(OR($E249="",$I249=""),"",MIN(1,MIN(N($F249),$E249)+($E249-MIN(N($F249),$E249))*(1-$I249)))</f>
        <v/>
      </c>
      <c r="U249" s="23" t="str">
        <f aca="false">IF(OR($T249="",$Q249=""),"",1-(1-$T249)^$Q249)</f>
        <v/>
      </c>
      <c r="V249" s="23" t="str">
        <f aca="false">IF($M249&lt;&gt;"",$M249,IF($G249="","",MAX(1,(Setup!$B$6/$G249)^Setup!$B$7)))</f>
        <v/>
      </c>
      <c r="W249" s="22" t="str">
        <f aca="false">IF(COUNT($J249:$L249)&lt;3,"",Setup!$B$10*(6-$J249)+Setup!$B$11*$K249+Setup!$B$12*$L249)</f>
        <v/>
      </c>
      <c r="X249" s="23" t="str">
        <f aca="false">IF($W249="","",IF(LEFT(Setup!$B$15,1)="B",EXP(Setup!$B$14*($W249-1)),1+Setup!$B$14*($W249-1)))</f>
        <v/>
      </c>
      <c r="Y249" s="23" t="str">
        <f aca="false">IF($N249&lt;&gt;"",$N249,$X249)</f>
        <v/>
      </c>
      <c r="Z249" s="22" t="str">
        <f aca="false">IF(OR($H249="",$U249="",$V249=""),"",$H249*$U249*$V249)</f>
        <v/>
      </c>
      <c r="AA249" s="22" t="str">
        <f aca="false">IF(OR($Z249="",$Y249=""),"",$Z249*$Y249)</f>
        <v/>
      </c>
      <c r="AB249" s="1" t="str">
        <f aca="false">IF($A249="","",IF(OR($E249="",$G249="",$H249="",$I249="",AND($N249="",COUNT($J249:$L249)&lt;3)),"Missing: "&amp;IF($E249="","P ","")&amp;IF($G249="","T ","")&amp;IF($H249="","I ","")&amp;IF($I249="","C ","")&amp;IF(AND($N249="",COUNT($J249:$L249)&lt;3),"C_ctrl/C_ext/C_irr",""),IF(N($F249)&gt;$E249,"P_floor &gt; P (floor capped at P)","OK")))</f>
        <v/>
      </c>
      <c r="AC249" s="1" t="str">
        <f aca="false">IF($AA249="","",$AA249+ROW()/1000000)</f>
        <v/>
      </c>
      <c r="AD249" s="18" t="n">
        <f aca="false">IF(AND($A249&lt;&gt;"",ISNUMBER($AA249)),1,0)</f>
        <v>0</v>
      </c>
      <c r="AE249" s="18" t="n">
        <f aca="false">IF($AD249=1,$H249,0)</f>
        <v>0</v>
      </c>
      <c r="AF249" s="18" t="n">
        <f aca="false">IF($AD249=1,$E249,0)</f>
        <v>0</v>
      </c>
      <c r="AG249" s="18" t="n">
        <f aca="false">IF($AD249=1,MIN(N($F249),$E249),0)</f>
        <v>0</v>
      </c>
      <c r="AH249" s="18" t="n">
        <f aca="false">IF($AD249=1,$I249,0)</f>
        <v>0</v>
      </c>
      <c r="AI249" s="18" t="n">
        <f aca="false">IF($AD249=1,$G249,1)</f>
        <v>1</v>
      </c>
      <c r="AJ249" s="18" t="n">
        <f aca="false">IF($AD249=1,$V249,1)</f>
        <v>1</v>
      </c>
      <c r="AK249" s="18" t="n">
        <f aca="false">IF($AD249=1,$Y249,1)</f>
        <v>1</v>
      </c>
    </row>
    <row r="250" customFormat="false" ht="15" hidden="false" customHeight="false" outlineLevel="0" collapsed="false">
      <c r="A250" s="10"/>
      <c r="B250" s="10"/>
      <c r="C250" s="12"/>
      <c r="D250" s="17"/>
      <c r="E250" s="13"/>
      <c r="F250" s="21"/>
      <c r="G250" s="12"/>
      <c r="H250" s="12"/>
      <c r="I250" s="12"/>
      <c r="J250" s="12"/>
      <c r="K250" s="12"/>
      <c r="L250" s="12"/>
      <c r="M250" s="15"/>
      <c r="N250" s="15"/>
      <c r="O250" s="12"/>
      <c r="P250" s="17"/>
      <c r="Q250" s="22" t="str">
        <f aca="false">IF(OR($G250="",Setup!$B$5=""),"",Setup!$B$5/$G250)</f>
        <v/>
      </c>
      <c r="R250" s="23" t="str">
        <f aca="false">IF(OR($E250="",$Q250=""),"",1-(1-$E250)^$Q250)</f>
        <v/>
      </c>
      <c r="S250" s="22" t="str">
        <f aca="false">IF(OR($R250="",$H250=""),"",$H250*$R250)</f>
        <v/>
      </c>
      <c r="T250" s="23" t="str">
        <f aca="false">IF(OR($E250="",$I250=""),"",MIN(1,MIN(N($F250),$E250)+($E250-MIN(N($F250),$E250))*(1-$I250)))</f>
        <v/>
      </c>
      <c r="U250" s="23" t="str">
        <f aca="false">IF(OR($T250="",$Q250=""),"",1-(1-$T250)^$Q250)</f>
        <v/>
      </c>
      <c r="V250" s="23" t="str">
        <f aca="false">IF($M250&lt;&gt;"",$M250,IF($G250="","",MAX(1,(Setup!$B$6/$G250)^Setup!$B$7)))</f>
        <v/>
      </c>
      <c r="W250" s="22" t="str">
        <f aca="false">IF(COUNT($J250:$L250)&lt;3,"",Setup!$B$10*(6-$J250)+Setup!$B$11*$K250+Setup!$B$12*$L250)</f>
        <v/>
      </c>
      <c r="X250" s="23" t="str">
        <f aca="false">IF($W250="","",IF(LEFT(Setup!$B$15,1)="B",EXP(Setup!$B$14*($W250-1)),1+Setup!$B$14*($W250-1)))</f>
        <v/>
      </c>
      <c r="Y250" s="23" t="str">
        <f aca="false">IF($N250&lt;&gt;"",$N250,$X250)</f>
        <v/>
      </c>
      <c r="Z250" s="22" t="str">
        <f aca="false">IF(OR($H250="",$U250="",$V250=""),"",$H250*$U250*$V250)</f>
        <v/>
      </c>
      <c r="AA250" s="22" t="str">
        <f aca="false">IF(OR($Z250="",$Y250=""),"",$Z250*$Y250)</f>
        <v/>
      </c>
      <c r="AB250" s="1" t="str">
        <f aca="false">IF($A250="","",IF(OR($E250="",$G250="",$H250="",$I250="",AND($N250="",COUNT($J250:$L250)&lt;3)),"Missing: "&amp;IF($E250="","P ","")&amp;IF($G250="","T ","")&amp;IF($H250="","I ","")&amp;IF($I250="","C ","")&amp;IF(AND($N250="",COUNT($J250:$L250)&lt;3),"C_ctrl/C_ext/C_irr",""),IF(N($F250)&gt;$E250,"P_floor &gt; P (floor capped at P)","OK")))</f>
        <v/>
      </c>
      <c r="AC250" s="1" t="str">
        <f aca="false">IF($AA250="","",$AA250+ROW()/1000000)</f>
        <v/>
      </c>
      <c r="AD250" s="18" t="n">
        <f aca="false">IF(AND($A250&lt;&gt;"",ISNUMBER($AA250)),1,0)</f>
        <v>0</v>
      </c>
      <c r="AE250" s="18" t="n">
        <f aca="false">IF($AD250=1,$H250,0)</f>
        <v>0</v>
      </c>
      <c r="AF250" s="18" t="n">
        <f aca="false">IF($AD250=1,$E250,0)</f>
        <v>0</v>
      </c>
      <c r="AG250" s="18" t="n">
        <f aca="false">IF($AD250=1,MIN(N($F250),$E250),0)</f>
        <v>0</v>
      </c>
      <c r="AH250" s="18" t="n">
        <f aca="false">IF($AD250=1,$I250,0)</f>
        <v>0</v>
      </c>
      <c r="AI250" s="18" t="n">
        <f aca="false">IF($AD250=1,$G250,1)</f>
        <v>1</v>
      </c>
      <c r="AJ250" s="18" t="n">
        <f aca="false">IF($AD250=1,$V250,1)</f>
        <v>1</v>
      </c>
      <c r="AK250" s="18" t="n">
        <f aca="false">IF($AD250=1,$Y250,1)</f>
        <v>1</v>
      </c>
    </row>
    <row r="251" customFormat="false" ht="15" hidden="false" customHeight="false" outlineLevel="0" collapsed="false">
      <c r="A251" s="10"/>
      <c r="B251" s="10"/>
      <c r="C251" s="12"/>
      <c r="D251" s="17"/>
      <c r="E251" s="13"/>
      <c r="F251" s="21"/>
      <c r="G251" s="12"/>
      <c r="H251" s="12"/>
      <c r="I251" s="12"/>
      <c r="J251" s="12"/>
      <c r="K251" s="12"/>
      <c r="L251" s="12"/>
      <c r="M251" s="15"/>
      <c r="N251" s="15"/>
      <c r="O251" s="12"/>
      <c r="P251" s="17"/>
      <c r="Q251" s="22" t="str">
        <f aca="false">IF(OR($G251="",Setup!$B$5=""),"",Setup!$B$5/$G251)</f>
        <v/>
      </c>
      <c r="R251" s="23" t="str">
        <f aca="false">IF(OR($E251="",$Q251=""),"",1-(1-$E251)^$Q251)</f>
        <v/>
      </c>
      <c r="S251" s="22" t="str">
        <f aca="false">IF(OR($R251="",$H251=""),"",$H251*$R251)</f>
        <v/>
      </c>
      <c r="T251" s="23" t="str">
        <f aca="false">IF(OR($E251="",$I251=""),"",MIN(1,MIN(N($F251),$E251)+($E251-MIN(N($F251),$E251))*(1-$I251)))</f>
        <v/>
      </c>
      <c r="U251" s="23" t="str">
        <f aca="false">IF(OR($T251="",$Q251=""),"",1-(1-$T251)^$Q251)</f>
        <v/>
      </c>
      <c r="V251" s="23" t="str">
        <f aca="false">IF($M251&lt;&gt;"",$M251,IF($G251="","",MAX(1,(Setup!$B$6/$G251)^Setup!$B$7)))</f>
        <v/>
      </c>
      <c r="W251" s="22" t="str">
        <f aca="false">IF(COUNT($J251:$L251)&lt;3,"",Setup!$B$10*(6-$J251)+Setup!$B$11*$K251+Setup!$B$12*$L251)</f>
        <v/>
      </c>
      <c r="X251" s="23" t="str">
        <f aca="false">IF($W251="","",IF(LEFT(Setup!$B$15,1)="B",EXP(Setup!$B$14*($W251-1)),1+Setup!$B$14*($W251-1)))</f>
        <v/>
      </c>
      <c r="Y251" s="23" t="str">
        <f aca="false">IF($N251&lt;&gt;"",$N251,$X251)</f>
        <v/>
      </c>
      <c r="Z251" s="22" t="str">
        <f aca="false">IF(OR($H251="",$U251="",$V251=""),"",$H251*$U251*$V251)</f>
        <v/>
      </c>
      <c r="AA251" s="22" t="str">
        <f aca="false">IF(OR($Z251="",$Y251=""),"",$Z251*$Y251)</f>
        <v/>
      </c>
      <c r="AB251" s="1" t="str">
        <f aca="false">IF($A251="","",IF(OR($E251="",$G251="",$H251="",$I251="",AND($N251="",COUNT($J251:$L251)&lt;3)),"Missing: "&amp;IF($E251="","P ","")&amp;IF($G251="","T ","")&amp;IF($H251="","I ","")&amp;IF($I251="","C ","")&amp;IF(AND($N251="",COUNT($J251:$L251)&lt;3),"C_ctrl/C_ext/C_irr",""),IF(N($F251)&gt;$E251,"P_floor &gt; P (floor capped at P)","OK")))</f>
        <v/>
      </c>
      <c r="AC251" s="1" t="str">
        <f aca="false">IF($AA251="","",$AA251+ROW()/1000000)</f>
        <v/>
      </c>
      <c r="AD251" s="18" t="n">
        <f aca="false">IF(AND($A251&lt;&gt;"",ISNUMBER($AA251)),1,0)</f>
        <v>0</v>
      </c>
      <c r="AE251" s="18" t="n">
        <f aca="false">IF($AD251=1,$H251,0)</f>
        <v>0</v>
      </c>
      <c r="AF251" s="18" t="n">
        <f aca="false">IF($AD251=1,$E251,0)</f>
        <v>0</v>
      </c>
      <c r="AG251" s="18" t="n">
        <f aca="false">IF($AD251=1,MIN(N($F251),$E251),0)</f>
        <v>0</v>
      </c>
      <c r="AH251" s="18" t="n">
        <f aca="false">IF($AD251=1,$I251,0)</f>
        <v>0</v>
      </c>
      <c r="AI251" s="18" t="n">
        <f aca="false">IF($AD251=1,$G251,1)</f>
        <v>1</v>
      </c>
      <c r="AJ251" s="18" t="n">
        <f aca="false">IF($AD251=1,$V251,1)</f>
        <v>1</v>
      </c>
      <c r="AK251" s="18" t="n">
        <f aca="false">IF($AD251=1,$Y251,1)</f>
        <v>1</v>
      </c>
    </row>
    <row r="252" customFormat="false" ht="15" hidden="false" customHeight="false" outlineLevel="0" collapsed="false">
      <c r="A252" s="10"/>
      <c r="B252" s="10"/>
      <c r="C252" s="12"/>
      <c r="D252" s="17"/>
      <c r="E252" s="13"/>
      <c r="F252" s="21"/>
      <c r="G252" s="12"/>
      <c r="H252" s="12"/>
      <c r="I252" s="12"/>
      <c r="J252" s="12"/>
      <c r="K252" s="12"/>
      <c r="L252" s="12"/>
      <c r="M252" s="15"/>
      <c r="N252" s="15"/>
      <c r="O252" s="12"/>
      <c r="P252" s="17"/>
      <c r="Q252" s="22" t="str">
        <f aca="false">IF(OR($G252="",Setup!$B$5=""),"",Setup!$B$5/$G252)</f>
        <v/>
      </c>
      <c r="R252" s="23" t="str">
        <f aca="false">IF(OR($E252="",$Q252=""),"",1-(1-$E252)^$Q252)</f>
        <v/>
      </c>
      <c r="S252" s="22" t="str">
        <f aca="false">IF(OR($R252="",$H252=""),"",$H252*$R252)</f>
        <v/>
      </c>
      <c r="T252" s="23" t="str">
        <f aca="false">IF(OR($E252="",$I252=""),"",MIN(1,MIN(N($F252),$E252)+($E252-MIN(N($F252),$E252))*(1-$I252)))</f>
        <v/>
      </c>
      <c r="U252" s="23" t="str">
        <f aca="false">IF(OR($T252="",$Q252=""),"",1-(1-$T252)^$Q252)</f>
        <v/>
      </c>
      <c r="V252" s="23" t="str">
        <f aca="false">IF($M252&lt;&gt;"",$M252,IF($G252="","",MAX(1,(Setup!$B$6/$G252)^Setup!$B$7)))</f>
        <v/>
      </c>
      <c r="W252" s="22" t="str">
        <f aca="false">IF(COUNT($J252:$L252)&lt;3,"",Setup!$B$10*(6-$J252)+Setup!$B$11*$K252+Setup!$B$12*$L252)</f>
        <v/>
      </c>
      <c r="X252" s="23" t="str">
        <f aca="false">IF($W252="","",IF(LEFT(Setup!$B$15,1)="B",EXP(Setup!$B$14*($W252-1)),1+Setup!$B$14*($W252-1)))</f>
        <v/>
      </c>
      <c r="Y252" s="23" t="str">
        <f aca="false">IF($N252&lt;&gt;"",$N252,$X252)</f>
        <v/>
      </c>
      <c r="Z252" s="22" t="str">
        <f aca="false">IF(OR($H252="",$U252="",$V252=""),"",$H252*$U252*$V252)</f>
        <v/>
      </c>
      <c r="AA252" s="22" t="str">
        <f aca="false">IF(OR($Z252="",$Y252=""),"",$Z252*$Y252)</f>
        <v/>
      </c>
      <c r="AB252" s="1" t="str">
        <f aca="false">IF($A252="","",IF(OR($E252="",$G252="",$H252="",$I252="",AND($N252="",COUNT($J252:$L252)&lt;3)),"Missing: "&amp;IF($E252="","P ","")&amp;IF($G252="","T ","")&amp;IF($H252="","I ","")&amp;IF($I252="","C ","")&amp;IF(AND($N252="",COUNT($J252:$L252)&lt;3),"C_ctrl/C_ext/C_irr",""),IF(N($F252)&gt;$E252,"P_floor &gt; P (floor capped at P)","OK")))</f>
        <v/>
      </c>
      <c r="AC252" s="1" t="str">
        <f aca="false">IF($AA252="","",$AA252+ROW()/1000000)</f>
        <v/>
      </c>
      <c r="AD252" s="18" t="n">
        <f aca="false">IF(AND($A252&lt;&gt;"",ISNUMBER($AA252)),1,0)</f>
        <v>0</v>
      </c>
      <c r="AE252" s="18" t="n">
        <f aca="false">IF($AD252=1,$H252,0)</f>
        <v>0</v>
      </c>
      <c r="AF252" s="18" t="n">
        <f aca="false">IF($AD252=1,$E252,0)</f>
        <v>0</v>
      </c>
      <c r="AG252" s="18" t="n">
        <f aca="false">IF($AD252=1,MIN(N($F252),$E252),0)</f>
        <v>0</v>
      </c>
      <c r="AH252" s="18" t="n">
        <f aca="false">IF($AD252=1,$I252,0)</f>
        <v>0</v>
      </c>
      <c r="AI252" s="18" t="n">
        <f aca="false">IF($AD252=1,$G252,1)</f>
        <v>1</v>
      </c>
      <c r="AJ252" s="18" t="n">
        <f aca="false">IF($AD252=1,$V252,1)</f>
        <v>1</v>
      </c>
      <c r="AK252" s="18" t="n">
        <f aca="false">IF($AD252=1,$Y252,1)</f>
        <v>1</v>
      </c>
    </row>
    <row r="253" customFormat="false" ht="15" hidden="false" customHeight="false" outlineLevel="0" collapsed="false">
      <c r="A253" s="10"/>
      <c r="B253" s="10"/>
      <c r="C253" s="12"/>
      <c r="D253" s="17"/>
      <c r="E253" s="13"/>
      <c r="F253" s="21"/>
      <c r="G253" s="12"/>
      <c r="H253" s="12"/>
      <c r="I253" s="12"/>
      <c r="J253" s="12"/>
      <c r="K253" s="12"/>
      <c r="L253" s="12"/>
      <c r="M253" s="15"/>
      <c r="N253" s="15"/>
      <c r="O253" s="12"/>
      <c r="P253" s="17"/>
      <c r="Q253" s="22" t="str">
        <f aca="false">IF(OR($G253="",Setup!$B$5=""),"",Setup!$B$5/$G253)</f>
        <v/>
      </c>
      <c r="R253" s="23" t="str">
        <f aca="false">IF(OR($E253="",$Q253=""),"",1-(1-$E253)^$Q253)</f>
        <v/>
      </c>
      <c r="S253" s="22" t="str">
        <f aca="false">IF(OR($R253="",$H253=""),"",$H253*$R253)</f>
        <v/>
      </c>
      <c r="T253" s="23" t="str">
        <f aca="false">IF(OR($E253="",$I253=""),"",MIN(1,MIN(N($F253),$E253)+($E253-MIN(N($F253),$E253))*(1-$I253)))</f>
        <v/>
      </c>
      <c r="U253" s="23" t="str">
        <f aca="false">IF(OR($T253="",$Q253=""),"",1-(1-$T253)^$Q253)</f>
        <v/>
      </c>
      <c r="V253" s="23" t="str">
        <f aca="false">IF($M253&lt;&gt;"",$M253,IF($G253="","",MAX(1,(Setup!$B$6/$G253)^Setup!$B$7)))</f>
        <v/>
      </c>
      <c r="W253" s="22" t="str">
        <f aca="false">IF(COUNT($J253:$L253)&lt;3,"",Setup!$B$10*(6-$J253)+Setup!$B$11*$K253+Setup!$B$12*$L253)</f>
        <v/>
      </c>
      <c r="X253" s="23" t="str">
        <f aca="false">IF($W253="","",IF(LEFT(Setup!$B$15,1)="B",EXP(Setup!$B$14*($W253-1)),1+Setup!$B$14*($W253-1)))</f>
        <v/>
      </c>
      <c r="Y253" s="23" t="str">
        <f aca="false">IF($N253&lt;&gt;"",$N253,$X253)</f>
        <v/>
      </c>
      <c r="Z253" s="22" t="str">
        <f aca="false">IF(OR($H253="",$U253="",$V253=""),"",$H253*$U253*$V253)</f>
        <v/>
      </c>
      <c r="AA253" s="22" t="str">
        <f aca="false">IF(OR($Z253="",$Y253=""),"",$Z253*$Y253)</f>
        <v/>
      </c>
      <c r="AB253" s="1" t="str">
        <f aca="false">IF($A253="","",IF(OR($E253="",$G253="",$H253="",$I253="",AND($N253="",COUNT($J253:$L253)&lt;3)),"Missing: "&amp;IF($E253="","P ","")&amp;IF($G253="","T ","")&amp;IF($H253="","I ","")&amp;IF($I253="","C ","")&amp;IF(AND($N253="",COUNT($J253:$L253)&lt;3),"C_ctrl/C_ext/C_irr",""),IF(N($F253)&gt;$E253,"P_floor &gt; P (floor capped at P)","OK")))</f>
        <v/>
      </c>
      <c r="AC253" s="1" t="str">
        <f aca="false">IF($AA253="","",$AA253+ROW()/1000000)</f>
        <v/>
      </c>
      <c r="AD253" s="18" t="n">
        <f aca="false">IF(AND($A253&lt;&gt;"",ISNUMBER($AA253)),1,0)</f>
        <v>0</v>
      </c>
      <c r="AE253" s="18" t="n">
        <f aca="false">IF($AD253=1,$H253,0)</f>
        <v>0</v>
      </c>
      <c r="AF253" s="18" t="n">
        <f aca="false">IF($AD253=1,$E253,0)</f>
        <v>0</v>
      </c>
      <c r="AG253" s="18" t="n">
        <f aca="false">IF($AD253=1,MIN(N($F253),$E253),0)</f>
        <v>0</v>
      </c>
      <c r="AH253" s="18" t="n">
        <f aca="false">IF($AD253=1,$I253,0)</f>
        <v>0</v>
      </c>
      <c r="AI253" s="18" t="n">
        <f aca="false">IF($AD253=1,$G253,1)</f>
        <v>1</v>
      </c>
      <c r="AJ253" s="18" t="n">
        <f aca="false">IF($AD253=1,$V253,1)</f>
        <v>1</v>
      </c>
      <c r="AK253" s="18" t="n">
        <f aca="false">IF($AD253=1,$Y253,1)</f>
        <v>1</v>
      </c>
    </row>
    <row r="254" customFormat="false" ht="15" hidden="false" customHeight="false" outlineLevel="0" collapsed="false">
      <c r="A254" s="10"/>
      <c r="B254" s="10"/>
      <c r="C254" s="12"/>
      <c r="D254" s="17"/>
      <c r="E254" s="13"/>
      <c r="F254" s="21"/>
      <c r="G254" s="12"/>
      <c r="H254" s="12"/>
      <c r="I254" s="12"/>
      <c r="J254" s="12"/>
      <c r="K254" s="12"/>
      <c r="L254" s="12"/>
      <c r="M254" s="15"/>
      <c r="N254" s="15"/>
      <c r="O254" s="12"/>
      <c r="P254" s="17"/>
      <c r="Q254" s="22" t="str">
        <f aca="false">IF(OR($G254="",Setup!$B$5=""),"",Setup!$B$5/$G254)</f>
        <v/>
      </c>
      <c r="R254" s="23" t="str">
        <f aca="false">IF(OR($E254="",$Q254=""),"",1-(1-$E254)^$Q254)</f>
        <v/>
      </c>
      <c r="S254" s="22" t="str">
        <f aca="false">IF(OR($R254="",$H254=""),"",$H254*$R254)</f>
        <v/>
      </c>
      <c r="T254" s="23" t="str">
        <f aca="false">IF(OR($E254="",$I254=""),"",MIN(1,MIN(N($F254),$E254)+($E254-MIN(N($F254),$E254))*(1-$I254)))</f>
        <v/>
      </c>
      <c r="U254" s="23" t="str">
        <f aca="false">IF(OR($T254="",$Q254=""),"",1-(1-$T254)^$Q254)</f>
        <v/>
      </c>
      <c r="V254" s="23" t="str">
        <f aca="false">IF($M254&lt;&gt;"",$M254,IF($G254="","",MAX(1,(Setup!$B$6/$G254)^Setup!$B$7)))</f>
        <v/>
      </c>
      <c r="W254" s="22" t="str">
        <f aca="false">IF(COUNT($J254:$L254)&lt;3,"",Setup!$B$10*(6-$J254)+Setup!$B$11*$K254+Setup!$B$12*$L254)</f>
        <v/>
      </c>
      <c r="X254" s="23" t="str">
        <f aca="false">IF($W254="","",IF(LEFT(Setup!$B$15,1)="B",EXP(Setup!$B$14*($W254-1)),1+Setup!$B$14*($W254-1)))</f>
        <v/>
      </c>
      <c r="Y254" s="23" t="str">
        <f aca="false">IF($N254&lt;&gt;"",$N254,$X254)</f>
        <v/>
      </c>
      <c r="Z254" s="22" t="str">
        <f aca="false">IF(OR($H254="",$U254="",$V254=""),"",$H254*$U254*$V254)</f>
        <v/>
      </c>
      <c r="AA254" s="22" t="str">
        <f aca="false">IF(OR($Z254="",$Y254=""),"",$Z254*$Y254)</f>
        <v/>
      </c>
      <c r="AB254" s="1" t="str">
        <f aca="false">IF($A254="","",IF(OR($E254="",$G254="",$H254="",$I254="",AND($N254="",COUNT($J254:$L254)&lt;3)),"Missing: "&amp;IF($E254="","P ","")&amp;IF($G254="","T ","")&amp;IF($H254="","I ","")&amp;IF($I254="","C ","")&amp;IF(AND($N254="",COUNT($J254:$L254)&lt;3),"C_ctrl/C_ext/C_irr",""),IF(N($F254)&gt;$E254,"P_floor &gt; P (floor capped at P)","OK")))</f>
        <v/>
      </c>
      <c r="AC254" s="1" t="str">
        <f aca="false">IF($AA254="","",$AA254+ROW()/1000000)</f>
        <v/>
      </c>
      <c r="AD254" s="18" t="n">
        <f aca="false">IF(AND($A254&lt;&gt;"",ISNUMBER($AA254)),1,0)</f>
        <v>0</v>
      </c>
      <c r="AE254" s="18" t="n">
        <f aca="false">IF($AD254=1,$H254,0)</f>
        <v>0</v>
      </c>
      <c r="AF254" s="18" t="n">
        <f aca="false">IF($AD254=1,$E254,0)</f>
        <v>0</v>
      </c>
      <c r="AG254" s="18" t="n">
        <f aca="false">IF($AD254=1,MIN(N($F254),$E254),0)</f>
        <v>0</v>
      </c>
      <c r="AH254" s="18" t="n">
        <f aca="false">IF($AD254=1,$I254,0)</f>
        <v>0</v>
      </c>
      <c r="AI254" s="18" t="n">
        <f aca="false">IF($AD254=1,$G254,1)</f>
        <v>1</v>
      </c>
      <c r="AJ254" s="18" t="n">
        <f aca="false">IF($AD254=1,$V254,1)</f>
        <v>1</v>
      </c>
      <c r="AK254" s="18" t="n">
        <f aca="false">IF($AD254=1,$Y254,1)</f>
        <v>1</v>
      </c>
    </row>
    <row r="255" customFormat="false" ht="15" hidden="false" customHeight="false" outlineLevel="0" collapsed="false">
      <c r="A255" s="10"/>
      <c r="B255" s="10"/>
      <c r="C255" s="12"/>
      <c r="D255" s="17"/>
      <c r="E255" s="13"/>
      <c r="F255" s="21"/>
      <c r="G255" s="12"/>
      <c r="H255" s="12"/>
      <c r="I255" s="12"/>
      <c r="J255" s="12"/>
      <c r="K255" s="12"/>
      <c r="L255" s="12"/>
      <c r="M255" s="15"/>
      <c r="N255" s="15"/>
      <c r="O255" s="12"/>
      <c r="P255" s="17"/>
      <c r="Q255" s="22" t="str">
        <f aca="false">IF(OR($G255="",Setup!$B$5=""),"",Setup!$B$5/$G255)</f>
        <v/>
      </c>
      <c r="R255" s="23" t="str">
        <f aca="false">IF(OR($E255="",$Q255=""),"",1-(1-$E255)^$Q255)</f>
        <v/>
      </c>
      <c r="S255" s="22" t="str">
        <f aca="false">IF(OR($R255="",$H255=""),"",$H255*$R255)</f>
        <v/>
      </c>
      <c r="T255" s="23" t="str">
        <f aca="false">IF(OR($E255="",$I255=""),"",MIN(1,MIN(N($F255),$E255)+($E255-MIN(N($F255),$E255))*(1-$I255)))</f>
        <v/>
      </c>
      <c r="U255" s="23" t="str">
        <f aca="false">IF(OR($T255="",$Q255=""),"",1-(1-$T255)^$Q255)</f>
        <v/>
      </c>
      <c r="V255" s="23" t="str">
        <f aca="false">IF($M255&lt;&gt;"",$M255,IF($G255="","",MAX(1,(Setup!$B$6/$G255)^Setup!$B$7)))</f>
        <v/>
      </c>
      <c r="W255" s="22" t="str">
        <f aca="false">IF(COUNT($J255:$L255)&lt;3,"",Setup!$B$10*(6-$J255)+Setup!$B$11*$K255+Setup!$B$12*$L255)</f>
        <v/>
      </c>
      <c r="X255" s="23" t="str">
        <f aca="false">IF($W255="","",IF(LEFT(Setup!$B$15,1)="B",EXP(Setup!$B$14*($W255-1)),1+Setup!$B$14*($W255-1)))</f>
        <v/>
      </c>
      <c r="Y255" s="23" t="str">
        <f aca="false">IF($N255&lt;&gt;"",$N255,$X255)</f>
        <v/>
      </c>
      <c r="Z255" s="22" t="str">
        <f aca="false">IF(OR($H255="",$U255="",$V255=""),"",$H255*$U255*$V255)</f>
        <v/>
      </c>
      <c r="AA255" s="22" t="str">
        <f aca="false">IF(OR($Z255="",$Y255=""),"",$Z255*$Y255)</f>
        <v/>
      </c>
      <c r="AB255" s="1" t="str">
        <f aca="false">IF($A255="","",IF(OR($E255="",$G255="",$H255="",$I255="",AND($N255="",COUNT($J255:$L255)&lt;3)),"Missing: "&amp;IF($E255="","P ","")&amp;IF($G255="","T ","")&amp;IF($H255="","I ","")&amp;IF($I255="","C ","")&amp;IF(AND($N255="",COUNT($J255:$L255)&lt;3),"C_ctrl/C_ext/C_irr",""),IF(N($F255)&gt;$E255,"P_floor &gt; P (floor capped at P)","OK")))</f>
        <v/>
      </c>
      <c r="AC255" s="1" t="str">
        <f aca="false">IF($AA255="","",$AA255+ROW()/1000000)</f>
        <v/>
      </c>
      <c r="AD255" s="18" t="n">
        <f aca="false">IF(AND($A255&lt;&gt;"",ISNUMBER($AA255)),1,0)</f>
        <v>0</v>
      </c>
      <c r="AE255" s="18" t="n">
        <f aca="false">IF($AD255=1,$H255,0)</f>
        <v>0</v>
      </c>
      <c r="AF255" s="18" t="n">
        <f aca="false">IF($AD255=1,$E255,0)</f>
        <v>0</v>
      </c>
      <c r="AG255" s="18" t="n">
        <f aca="false">IF($AD255=1,MIN(N($F255),$E255),0)</f>
        <v>0</v>
      </c>
      <c r="AH255" s="18" t="n">
        <f aca="false">IF($AD255=1,$I255,0)</f>
        <v>0</v>
      </c>
      <c r="AI255" s="18" t="n">
        <f aca="false">IF($AD255=1,$G255,1)</f>
        <v>1</v>
      </c>
      <c r="AJ255" s="18" t="n">
        <f aca="false">IF($AD255=1,$V255,1)</f>
        <v>1</v>
      </c>
      <c r="AK255" s="18" t="n">
        <f aca="false">IF($AD255=1,$Y255,1)</f>
        <v>1</v>
      </c>
    </row>
    <row r="256" customFormat="false" ht="15" hidden="false" customHeight="false" outlineLevel="0" collapsed="false">
      <c r="A256" s="10"/>
      <c r="B256" s="10"/>
      <c r="C256" s="12"/>
      <c r="D256" s="17"/>
      <c r="E256" s="13"/>
      <c r="F256" s="21"/>
      <c r="G256" s="12"/>
      <c r="H256" s="12"/>
      <c r="I256" s="12"/>
      <c r="J256" s="12"/>
      <c r="K256" s="12"/>
      <c r="L256" s="12"/>
      <c r="M256" s="15"/>
      <c r="N256" s="15"/>
      <c r="O256" s="12"/>
      <c r="P256" s="17"/>
      <c r="Q256" s="22" t="str">
        <f aca="false">IF(OR($G256="",Setup!$B$5=""),"",Setup!$B$5/$G256)</f>
        <v/>
      </c>
      <c r="R256" s="23" t="str">
        <f aca="false">IF(OR($E256="",$Q256=""),"",1-(1-$E256)^$Q256)</f>
        <v/>
      </c>
      <c r="S256" s="22" t="str">
        <f aca="false">IF(OR($R256="",$H256=""),"",$H256*$R256)</f>
        <v/>
      </c>
      <c r="T256" s="23" t="str">
        <f aca="false">IF(OR($E256="",$I256=""),"",MIN(1,MIN(N($F256),$E256)+($E256-MIN(N($F256),$E256))*(1-$I256)))</f>
        <v/>
      </c>
      <c r="U256" s="23" t="str">
        <f aca="false">IF(OR($T256="",$Q256=""),"",1-(1-$T256)^$Q256)</f>
        <v/>
      </c>
      <c r="V256" s="23" t="str">
        <f aca="false">IF($M256&lt;&gt;"",$M256,IF($G256="","",MAX(1,(Setup!$B$6/$G256)^Setup!$B$7)))</f>
        <v/>
      </c>
      <c r="W256" s="22" t="str">
        <f aca="false">IF(COUNT($J256:$L256)&lt;3,"",Setup!$B$10*(6-$J256)+Setup!$B$11*$K256+Setup!$B$12*$L256)</f>
        <v/>
      </c>
      <c r="X256" s="23" t="str">
        <f aca="false">IF($W256="","",IF(LEFT(Setup!$B$15,1)="B",EXP(Setup!$B$14*($W256-1)),1+Setup!$B$14*($W256-1)))</f>
        <v/>
      </c>
      <c r="Y256" s="23" t="str">
        <f aca="false">IF($N256&lt;&gt;"",$N256,$X256)</f>
        <v/>
      </c>
      <c r="Z256" s="22" t="str">
        <f aca="false">IF(OR($H256="",$U256="",$V256=""),"",$H256*$U256*$V256)</f>
        <v/>
      </c>
      <c r="AA256" s="22" t="str">
        <f aca="false">IF(OR($Z256="",$Y256=""),"",$Z256*$Y256)</f>
        <v/>
      </c>
      <c r="AB256" s="1" t="str">
        <f aca="false">IF($A256="","",IF(OR($E256="",$G256="",$H256="",$I256="",AND($N256="",COUNT($J256:$L256)&lt;3)),"Missing: "&amp;IF($E256="","P ","")&amp;IF($G256="","T ","")&amp;IF($H256="","I ","")&amp;IF($I256="","C ","")&amp;IF(AND($N256="",COUNT($J256:$L256)&lt;3),"C_ctrl/C_ext/C_irr",""),IF(N($F256)&gt;$E256,"P_floor &gt; P (floor capped at P)","OK")))</f>
        <v/>
      </c>
      <c r="AC256" s="1" t="str">
        <f aca="false">IF($AA256="","",$AA256+ROW()/1000000)</f>
        <v/>
      </c>
      <c r="AD256" s="18" t="n">
        <f aca="false">IF(AND($A256&lt;&gt;"",ISNUMBER($AA256)),1,0)</f>
        <v>0</v>
      </c>
      <c r="AE256" s="18" t="n">
        <f aca="false">IF($AD256=1,$H256,0)</f>
        <v>0</v>
      </c>
      <c r="AF256" s="18" t="n">
        <f aca="false">IF($AD256=1,$E256,0)</f>
        <v>0</v>
      </c>
      <c r="AG256" s="18" t="n">
        <f aca="false">IF($AD256=1,MIN(N($F256),$E256),0)</f>
        <v>0</v>
      </c>
      <c r="AH256" s="18" t="n">
        <f aca="false">IF($AD256=1,$I256,0)</f>
        <v>0</v>
      </c>
      <c r="AI256" s="18" t="n">
        <f aca="false">IF($AD256=1,$G256,1)</f>
        <v>1</v>
      </c>
      <c r="AJ256" s="18" t="n">
        <f aca="false">IF($AD256=1,$V256,1)</f>
        <v>1</v>
      </c>
      <c r="AK256" s="18" t="n">
        <f aca="false">IF($AD256=1,$Y256,1)</f>
        <v>1</v>
      </c>
    </row>
    <row r="257" customFormat="false" ht="15" hidden="false" customHeight="false" outlineLevel="0" collapsed="false">
      <c r="A257" s="10"/>
      <c r="B257" s="10"/>
      <c r="C257" s="12"/>
      <c r="D257" s="17"/>
      <c r="E257" s="13"/>
      <c r="F257" s="21"/>
      <c r="G257" s="12"/>
      <c r="H257" s="12"/>
      <c r="I257" s="12"/>
      <c r="J257" s="12"/>
      <c r="K257" s="12"/>
      <c r="L257" s="12"/>
      <c r="M257" s="15"/>
      <c r="N257" s="15"/>
      <c r="O257" s="12"/>
      <c r="P257" s="17"/>
      <c r="Q257" s="22" t="str">
        <f aca="false">IF(OR($G257="",Setup!$B$5=""),"",Setup!$B$5/$G257)</f>
        <v/>
      </c>
      <c r="R257" s="23" t="str">
        <f aca="false">IF(OR($E257="",$Q257=""),"",1-(1-$E257)^$Q257)</f>
        <v/>
      </c>
      <c r="S257" s="22" t="str">
        <f aca="false">IF(OR($R257="",$H257=""),"",$H257*$R257)</f>
        <v/>
      </c>
      <c r="T257" s="23" t="str">
        <f aca="false">IF(OR($E257="",$I257=""),"",MIN(1,MIN(N($F257),$E257)+($E257-MIN(N($F257),$E257))*(1-$I257)))</f>
        <v/>
      </c>
      <c r="U257" s="23" t="str">
        <f aca="false">IF(OR($T257="",$Q257=""),"",1-(1-$T257)^$Q257)</f>
        <v/>
      </c>
      <c r="V257" s="23" t="str">
        <f aca="false">IF($M257&lt;&gt;"",$M257,IF($G257="","",MAX(1,(Setup!$B$6/$G257)^Setup!$B$7)))</f>
        <v/>
      </c>
      <c r="W257" s="22" t="str">
        <f aca="false">IF(COUNT($J257:$L257)&lt;3,"",Setup!$B$10*(6-$J257)+Setup!$B$11*$K257+Setup!$B$12*$L257)</f>
        <v/>
      </c>
      <c r="X257" s="23" t="str">
        <f aca="false">IF($W257="","",IF(LEFT(Setup!$B$15,1)="B",EXP(Setup!$B$14*($W257-1)),1+Setup!$B$14*($W257-1)))</f>
        <v/>
      </c>
      <c r="Y257" s="23" t="str">
        <f aca="false">IF($N257&lt;&gt;"",$N257,$X257)</f>
        <v/>
      </c>
      <c r="Z257" s="22" t="str">
        <f aca="false">IF(OR($H257="",$U257="",$V257=""),"",$H257*$U257*$V257)</f>
        <v/>
      </c>
      <c r="AA257" s="22" t="str">
        <f aca="false">IF(OR($Z257="",$Y257=""),"",$Z257*$Y257)</f>
        <v/>
      </c>
      <c r="AB257" s="1" t="str">
        <f aca="false">IF($A257="","",IF(OR($E257="",$G257="",$H257="",$I257="",AND($N257="",COUNT($J257:$L257)&lt;3)),"Missing: "&amp;IF($E257="","P ","")&amp;IF($G257="","T ","")&amp;IF($H257="","I ","")&amp;IF($I257="","C ","")&amp;IF(AND($N257="",COUNT($J257:$L257)&lt;3),"C_ctrl/C_ext/C_irr",""),IF(N($F257)&gt;$E257,"P_floor &gt; P (floor capped at P)","OK")))</f>
        <v/>
      </c>
      <c r="AC257" s="1" t="str">
        <f aca="false">IF($AA257="","",$AA257+ROW()/1000000)</f>
        <v/>
      </c>
      <c r="AD257" s="18" t="n">
        <f aca="false">IF(AND($A257&lt;&gt;"",ISNUMBER($AA257)),1,0)</f>
        <v>0</v>
      </c>
      <c r="AE257" s="18" t="n">
        <f aca="false">IF($AD257=1,$H257,0)</f>
        <v>0</v>
      </c>
      <c r="AF257" s="18" t="n">
        <f aca="false">IF($AD257=1,$E257,0)</f>
        <v>0</v>
      </c>
      <c r="AG257" s="18" t="n">
        <f aca="false">IF($AD257=1,MIN(N($F257),$E257),0)</f>
        <v>0</v>
      </c>
      <c r="AH257" s="18" t="n">
        <f aca="false">IF($AD257=1,$I257,0)</f>
        <v>0</v>
      </c>
      <c r="AI257" s="18" t="n">
        <f aca="false">IF($AD257=1,$G257,1)</f>
        <v>1</v>
      </c>
      <c r="AJ257" s="18" t="n">
        <f aca="false">IF($AD257=1,$V257,1)</f>
        <v>1</v>
      </c>
      <c r="AK257" s="18" t="n">
        <f aca="false">IF($AD257=1,$Y257,1)</f>
        <v>1</v>
      </c>
    </row>
    <row r="258" customFormat="false" ht="15" hidden="false" customHeight="false" outlineLevel="0" collapsed="false">
      <c r="A258" s="10"/>
      <c r="B258" s="10"/>
      <c r="C258" s="12"/>
      <c r="D258" s="17"/>
      <c r="E258" s="13"/>
      <c r="F258" s="21"/>
      <c r="G258" s="12"/>
      <c r="H258" s="12"/>
      <c r="I258" s="12"/>
      <c r="J258" s="12"/>
      <c r="K258" s="12"/>
      <c r="L258" s="12"/>
      <c r="M258" s="15"/>
      <c r="N258" s="15"/>
      <c r="O258" s="12"/>
      <c r="P258" s="17"/>
      <c r="Q258" s="22" t="str">
        <f aca="false">IF(OR($G258="",Setup!$B$5=""),"",Setup!$B$5/$G258)</f>
        <v/>
      </c>
      <c r="R258" s="23" t="str">
        <f aca="false">IF(OR($E258="",$Q258=""),"",1-(1-$E258)^$Q258)</f>
        <v/>
      </c>
      <c r="S258" s="22" t="str">
        <f aca="false">IF(OR($R258="",$H258=""),"",$H258*$R258)</f>
        <v/>
      </c>
      <c r="T258" s="23" t="str">
        <f aca="false">IF(OR($E258="",$I258=""),"",MIN(1,MIN(N($F258),$E258)+($E258-MIN(N($F258),$E258))*(1-$I258)))</f>
        <v/>
      </c>
      <c r="U258" s="23" t="str">
        <f aca="false">IF(OR($T258="",$Q258=""),"",1-(1-$T258)^$Q258)</f>
        <v/>
      </c>
      <c r="V258" s="23" t="str">
        <f aca="false">IF($M258&lt;&gt;"",$M258,IF($G258="","",MAX(1,(Setup!$B$6/$G258)^Setup!$B$7)))</f>
        <v/>
      </c>
      <c r="W258" s="22" t="str">
        <f aca="false">IF(COUNT($J258:$L258)&lt;3,"",Setup!$B$10*(6-$J258)+Setup!$B$11*$K258+Setup!$B$12*$L258)</f>
        <v/>
      </c>
      <c r="X258" s="23" t="str">
        <f aca="false">IF($W258="","",IF(LEFT(Setup!$B$15,1)="B",EXP(Setup!$B$14*($W258-1)),1+Setup!$B$14*($W258-1)))</f>
        <v/>
      </c>
      <c r="Y258" s="23" t="str">
        <f aca="false">IF($N258&lt;&gt;"",$N258,$X258)</f>
        <v/>
      </c>
      <c r="Z258" s="22" t="str">
        <f aca="false">IF(OR($H258="",$U258="",$V258=""),"",$H258*$U258*$V258)</f>
        <v/>
      </c>
      <c r="AA258" s="22" t="str">
        <f aca="false">IF(OR($Z258="",$Y258=""),"",$Z258*$Y258)</f>
        <v/>
      </c>
      <c r="AB258" s="1" t="str">
        <f aca="false">IF($A258="","",IF(OR($E258="",$G258="",$H258="",$I258="",AND($N258="",COUNT($J258:$L258)&lt;3)),"Missing: "&amp;IF($E258="","P ","")&amp;IF($G258="","T ","")&amp;IF($H258="","I ","")&amp;IF($I258="","C ","")&amp;IF(AND($N258="",COUNT($J258:$L258)&lt;3),"C_ctrl/C_ext/C_irr",""),IF(N($F258)&gt;$E258,"P_floor &gt; P (floor capped at P)","OK")))</f>
        <v/>
      </c>
      <c r="AC258" s="1" t="str">
        <f aca="false">IF($AA258="","",$AA258+ROW()/1000000)</f>
        <v/>
      </c>
      <c r="AD258" s="18" t="n">
        <f aca="false">IF(AND($A258&lt;&gt;"",ISNUMBER($AA258)),1,0)</f>
        <v>0</v>
      </c>
      <c r="AE258" s="18" t="n">
        <f aca="false">IF($AD258=1,$H258,0)</f>
        <v>0</v>
      </c>
      <c r="AF258" s="18" t="n">
        <f aca="false">IF($AD258=1,$E258,0)</f>
        <v>0</v>
      </c>
      <c r="AG258" s="18" t="n">
        <f aca="false">IF($AD258=1,MIN(N($F258),$E258),0)</f>
        <v>0</v>
      </c>
      <c r="AH258" s="18" t="n">
        <f aca="false">IF($AD258=1,$I258,0)</f>
        <v>0</v>
      </c>
      <c r="AI258" s="18" t="n">
        <f aca="false">IF($AD258=1,$G258,1)</f>
        <v>1</v>
      </c>
      <c r="AJ258" s="18" t="n">
        <f aca="false">IF($AD258=1,$V258,1)</f>
        <v>1</v>
      </c>
      <c r="AK258" s="18" t="n">
        <f aca="false">IF($AD258=1,$Y258,1)</f>
        <v>1</v>
      </c>
    </row>
    <row r="259" customFormat="false" ht="15" hidden="false" customHeight="false" outlineLevel="0" collapsed="false">
      <c r="A259" s="10"/>
      <c r="B259" s="10"/>
      <c r="C259" s="12"/>
      <c r="D259" s="17"/>
      <c r="E259" s="13"/>
      <c r="F259" s="21"/>
      <c r="G259" s="12"/>
      <c r="H259" s="12"/>
      <c r="I259" s="12"/>
      <c r="J259" s="12"/>
      <c r="K259" s="12"/>
      <c r="L259" s="12"/>
      <c r="M259" s="15"/>
      <c r="N259" s="15"/>
      <c r="O259" s="12"/>
      <c r="P259" s="17"/>
      <c r="Q259" s="22" t="str">
        <f aca="false">IF(OR($G259="",Setup!$B$5=""),"",Setup!$B$5/$G259)</f>
        <v/>
      </c>
      <c r="R259" s="23" t="str">
        <f aca="false">IF(OR($E259="",$Q259=""),"",1-(1-$E259)^$Q259)</f>
        <v/>
      </c>
      <c r="S259" s="22" t="str">
        <f aca="false">IF(OR($R259="",$H259=""),"",$H259*$R259)</f>
        <v/>
      </c>
      <c r="T259" s="23" t="str">
        <f aca="false">IF(OR($E259="",$I259=""),"",MIN(1,MIN(N($F259),$E259)+($E259-MIN(N($F259),$E259))*(1-$I259)))</f>
        <v/>
      </c>
      <c r="U259" s="23" t="str">
        <f aca="false">IF(OR($T259="",$Q259=""),"",1-(1-$T259)^$Q259)</f>
        <v/>
      </c>
      <c r="V259" s="23" t="str">
        <f aca="false">IF($M259&lt;&gt;"",$M259,IF($G259="","",MAX(1,(Setup!$B$6/$G259)^Setup!$B$7)))</f>
        <v/>
      </c>
      <c r="W259" s="22" t="str">
        <f aca="false">IF(COUNT($J259:$L259)&lt;3,"",Setup!$B$10*(6-$J259)+Setup!$B$11*$K259+Setup!$B$12*$L259)</f>
        <v/>
      </c>
      <c r="X259" s="23" t="str">
        <f aca="false">IF($W259="","",IF(LEFT(Setup!$B$15,1)="B",EXP(Setup!$B$14*($W259-1)),1+Setup!$B$14*($W259-1)))</f>
        <v/>
      </c>
      <c r="Y259" s="23" t="str">
        <f aca="false">IF($N259&lt;&gt;"",$N259,$X259)</f>
        <v/>
      </c>
      <c r="Z259" s="22" t="str">
        <f aca="false">IF(OR($H259="",$U259="",$V259=""),"",$H259*$U259*$V259)</f>
        <v/>
      </c>
      <c r="AA259" s="22" t="str">
        <f aca="false">IF(OR($Z259="",$Y259=""),"",$Z259*$Y259)</f>
        <v/>
      </c>
      <c r="AB259" s="1" t="str">
        <f aca="false">IF($A259="","",IF(OR($E259="",$G259="",$H259="",$I259="",AND($N259="",COUNT($J259:$L259)&lt;3)),"Missing: "&amp;IF($E259="","P ","")&amp;IF($G259="","T ","")&amp;IF($H259="","I ","")&amp;IF($I259="","C ","")&amp;IF(AND($N259="",COUNT($J259:$L259)&lt;3),"C_ctrl/C_ext/C_irr",""),IF(N($F259)&gt;$E259,"P_floor &gt; P (floor capped at P)","OK")))</f>
        <v/>
      </c>
      <c r="AC259" s="1" t="str">
        <f aca="false">IF($AA259="","",$AA259+ROW()/1000000)</f>
        <v/>
      </c>
      <c r="AD259" s="18" t="n">
        <f aca="false">IF(AND($A259&lt;&gt;"",ISNUMBER($AA259)),1,0)</f>
        <v>0</v>
      </c>
      <c r="AE259" s="18" t="n">
        <f aca="false">IF($AD259=1,$H259,0)</f>
        <v>0</v>
      </c>
      <c r="AF259" s="18" t="n">
        <f aca="false">IF($AD259=1,$E259,0)</f>
        <v>0</v>
      </c>
      <c r="AG259" s="18" t="n">
        <f aca="false">IF($AD259=1,MIN(N($F259),$E259),0)</f>
        <v>0</v>
      </c>
      <c r="AH259" s="18" t="n">
        <f aca="false">IF($AD259=1,$I259,0)</f>
        <v>0</v>
      </c>
      <c r="AI259" s="18" t="n">
        <f aca="false">IF($AD259=1,$G259,1)</f>
        <v>1</v>
      </c>
      <c r="AJ259" s="18" t="n">
        <f aca="false">IF($AD259=1,$V259,1)</f>
        <v>1</v>
      </c>
      <c r="AK259" s="18" t="n">
        <f aca="false">IF($AD259=1,$Y259,1)</f>
        <v>1</v>
      </c>
    </row>
    <row r="260" customFormat="false" ht="15" hidden="false" customHeight="false" outlineLevel="0" collapsed="false">
      <c r="A260" s="10"/>
      <c r="B260" s="10"/>
      <c r="C260" s="12"/>
      <c r="D260" s="17"/>
      <c r="E260" s="13"/>
      <c r="F260" s="21"/>
      <c r="G260" s="12"/>
      <c r="H260" s="12"/>
      <c r="I260" s="12"/>
      <c r="J260" s="12"/>
      <c r="K260" s="12"/>
      <c r="L260" s="12"/>
      <c r="M260" s="15"/>
      <c r="N260" s="15"/>
      <c r="O260" s="12"/>
      <c r="P260" s="17"/>
      <c r="Q260" s="22" t="str">
        <f aca="false">IF(OR($G260="",Setup!$B$5=""),"",Setup!$B$5/$G260)</f>
        <v/>
      </c>
      <c r="R260" s="23" t="str">
        <f aca="false">IF(OR($E260="",$Q260=""),"",1-(1-$E260)^$Q260)</f>
        <v/>
      </c>
      <c r="S260" s="22" t="str">
        <f aca="false">IF(OR($R260="",$H260=""),"",$H260*$R260)</f>
        <v/>
      </c>
      <c r="T260" s="23" t="str">
        <f aca="false">IF(OR($E260="",$I260=""),"",MIN(1,MIN(N($F260),$E260)+($E260-MIN(N($F260),$E260))*(1-$I260)))</f>
        <v/>
      </c>
      <c r="U260" s="23" t="str">
        <f aca="false">IF(OR($T260="",$Q260=""),"",1-(1-$T260)^$Q260)</f>
        <v/>
      </c>
      <c r="V260" s="23" t="str">
        <f aca="false">IF($M260&lt;&gt;"",$M260,IF($G260="","",MAX(1,(Setup!$B$6/$G260)^Setup!$B$7)))</f>
        <v/>
      </c>
      <c r="W260" s="22" t="str">
        <f aca="false">IF(COUNT($J260:$L260)&lt;3,"",Setup!$B$10*(6-$J260)+Setup!$B$11*$K260+Setup!$B$12*$L260)</f>
        <v/>
      </c>
      <c r="X260" s="23" t="str">
        <f aca="false">IF($W260="","",IF(LEFT(Setup!$B$15,1)="B",EXP(Setup!$B$14*($W260-1)),1+Setup!$B$14*($W260-1)))</f>
        <v/>
      </c>
      <c r="Y260" s="23" t="str">
        <f aca="false">IF($N260&lt;&gt;"",$N260,$X260)</f>
        <v/>
      </c>
      <c r="Z260" s="22" t="str">
        <f aca="false">IF(OR($H260="",$U260="",$V260=""),"",$H260*$U260*$V260)</f>
        <v/>
      </c>
      <c r="AA260" s="22" t="str">
        <f aca="false">IF(OR($Z260="",$Y260=""),"",$Z260*$Y260)</f>
        <v/>
      </c>
      <c r="AB260" s="1" t="str">
        <f aca="false">IF($A260="","",IF(OR($E260="",$G260="",$H260="",$I260="",AND($N260="",COUNT($J260:$L260)&lt;3)),"Missing: "&amp;IF($E260="","P ","")&amp;IF($G260="","T ","")&amp;IF($H260="","I ","")&amp;IF($I260="","C ","")&amp;IF(AND($N260="",COUNT($J260:$L260)&lt;3),"C_ctrl/C_ext/C_irr",""),IF(N($F260)&gt;$E260,"P_floor &gt; P (floor capped at P)","OK")))</f>
        <v/>
      </c>
      <c r="AC260" s="1" t="str">
        <f aca="false">IF($AA260="","",$AA260+ROW()/1000000)</f>
        <v/>
      </c>
      <c r="AD260" s="18" t="n">
        <f aca="false">IF(AND($A260&lt;&gt;"",ISNUMBER($AA260)),1,0)</f>
        <v>0</v>
      </c>
      <c r="AE260" s="18" t="n">
        <f aca="false">IF($AD260=1,$H260,0)</f>
        <v>0</v>
      </c>
      <c r="AF260" s="18" t="n">
        <f aca="false">IF($AD260=1,$E260,0)</f>
        <v>0</v>
      </c>
      <c r="AG260" s="18" t="n">
        <f aca="false">IF($AD260=1,MIN(N($F260),$E260),0)</f>
        <v>0</v>
      </c>
      <c r="AH260" s="18" t="n">
        <f aca="false">IF($AD260=1,$I260,0)</f>
        <v>0</v>
      </c>
      <c r="AI260" s="18" t="n">
        <f aca="false">IF($AD260=1,$G260,1)</f>
        <v>1</v>
      </c>
      <c r="AJ260" s="18" t="n">
        <f aca="false">IF($AD260=1,$V260,1)</f>
        <v>1</v>
      </c>
      <c r="AK260" s="18" t="n">
        <f aca="false">IF($AD260=1,$Y260,1)</f>
        <v>1</v>
      </c>
    </row>
    <row r="261" customFormat="false" ht="15" hidden="false" customHeight="false" outlineLevel="0" collapsed="false">
      <c r="A261" s="10"/>
      <c r="B261" s="10"/>
      <c r="C261" s="12"/>
      <c r="D261" s="17"/>
      <c r="E261" s="13"/>
      <c r="F261" s="21"/>
      <c r="G261" s="12"/>
      <c r="H261" s="12"/>
      <c r="I261" s="12"/>
      <c r="J261" s="12"/>
      <c r="K261" s="12"/>
      <c r="L261" s="12"/>
      <c r="M261" s="15"/>
      <c r="N261" s="15"/>
      <c r="O261" s="12"/>
      <c r="P261" s="17"/>
      <c r="Q261" s="22" t="str">
        <f aca="false">IF(OR($G261="",Setup!$B$5=""),"",Setup!$B$5/$G261)</f>
        <v/>
      </c>
      <c r="R261" s="23" t="str">
        <f aca="false">IF(OR($E261="",$Q261=""),"",1-(1-$E261)^$Q261)</f>
        <v/>
      </c>
      <c r="S261" s="22" t="str">
        <f aca="false">IF(OR($R261="",$H261=""),"",$H261*$R261)</f>
        <v/>
      </c>
      <c r="T261" s="23" t="str">
        <f aca="false">IF(OR($E261="",$I261=""),"",MIN(1,MIN(N($F261),$E261)+($E261-MIN(N($F261),$E261))*(1-$I261)))</f>
        <v/>
      </c>
      <c r="U261" s="23" t="str">
        <f aca="false">IF(OR($T261="",$Q261=""),"",1-(1-$T261)^$Q261)</f>
        <v/>
      </c>
      <c r="V261" s="23" t="str">
        <f aca="false">IF($M261&lt;&gt;"",$M261,IF($G261="","",MAX(1,(Setup!$B$6/$G261)^Setup!$B$7)))</f>
        <v/>
      </c>
      <c r="W261" s="22" t="str">
        <f aca="false">IF(COUNT($J261:$L261)&lt;3,"",Setup!$B$10*(6-$J261)+Setup!$B$11*$K261+Setup!$B$12*$L261)</f>
        <v/>
      </c>
      <c r="X261" s="23" t="str">
        <f aca="false">IF($W261="","",IF(LEFT(Setup!$B$15,1)="B",EXP(Setup!$B$14*($W261-1)),1+Setup!$B$14*($W261-1)))</f>
        <v/>
      </c>
      <c r="Y261" s="23" t="str">
        <f aca="false">IF($N261&lt;&gt;"",$N261,$X261)</f>
        <v/>
      </c>
      <c r="Z261" s="22" t="str">
        <f aca="false">IF(OR($H261="",$U261="",$V261=""),"",$H261*$U261*$V261)</f>
        <v/>
      </c>
      <c r="AA261" s="22" t="str">
        <f aca="false">IF(OR($Z261="",$Y261=""),"",$Z261*$Y261)</f>
        <v/>
      </c>
      <c r="AB261" s="1" t="str">
        <f aca="false">IF($A261="","",IF(OR($E261="",$G261="",$H261="",$I261="",AND($N261="",COUNT($J261:$L261)&lt;3)),"Missing: "&amp;IF($E261="","P ","")&amp;IF($G261="","T ","")&amp;IF($H261="","I ","")&amp;IF($I261="","C ","")&amp;IF(AND($N261="",COUNT($J261:$L261)&lt;3),"C_ctrl/C_ext/C_irr",""),IF(N($F261)&gt;$E261,"P_floor &gt; P (floor capped at P)","OK")))</f>
        <v/>
      </c>
      <c r="AC261" s="1" t="str">
        <f aca="false">IF($AA261="","",$AA261+ROW()/1000000)</f>
        <v/>
      </c>
      <c r="AD261" s="18" t="n">
        <f aca="false">IF(AND($A261&lt;&gt;"",ISNUMBER($AA261)),1,0)</f>
        <v>0</v>
      </c>
      <c r="AE261" s="18" t="n">
        <f aca="false">IF($AD261=1,$H261,0)</f>
        <v>0</v>
      </c>
      <c r="AF261" s="18" t="n">
        <f aca="false">IF($AD261=1,$E261,0)</f>
        <v>0</v>
      </c>
      <c r="AG261" s="18" t="n">
        <f aca="false">IF($AD261=1,MIN(N($F261),$E261),0)</f>
        <v>0</v>
      </c>
      <c r="AH261" s="18" t="n">
        <f aca="false">IF($AD261=1,$I261,0)</f>
        <v>0</v>
      </c>
      <c r="AI261" s="18" t="n">
        <f aca="false">IF($AD261=1,$G261,1)</f>
        <v>1</v>
      </c>
      <c r="AJ261" s="18" t="n">
        <f aca="false">IF($AD261=1,$V261,1)</f>
        <v>1</v>
      </c>
      <c r="AK261" s="18" t="n">
        <f aca="false">IF($AD261=1,$Y261,1)</f>
        <v>1</v>
      </c>
    </row>
    <row r="262" customFormat="false" ht="15" hidden="false" customHeight="false" outlineLevel="0" collapsed="false">
      <c r="A262" s="10"/>
      <c r="B262" s="10"/>
      <c r="C262" s="12"/>
      <c r="D262" s="17"/>
      <c r="E262" s="13"/>
      <c r="F262" s="21"/>
      <c r="G262" s="12"/>
      <c r="H262" s="12"/>
      <c r="I262" s="12"/>
      <c r="J262" s="12"/>
      <c r="K262" s="12"/>
      <c r="L262" s="12"/>
      <c r="M262" s="15"/>
      <c r="N262" s="15"/>
      <c r="O262" s="12"/>
      <c r="P262" s="17"/>
      <c r="Q262" s="22" t="str">
        <f aca="false">IF(OR($G262="",Setup!$B$5=""),"",Setup!$B$5/$G262)</f>
        <v/>
      </c>
      <c r="R262" s="23" t="str">
        <f aca="false">IF(OR($E262="",$Q262=""),"",1-(1-$E262)^$Q262)</f>
        <v/>
      </c>
      <c r="S262" s="22" t="str">
        <f aca="false">IF(OR($R262="",$H262=""),"",$H262*$R262)</f>
        <v/>
      </c>
      <c r="T262" s="23" t="str">
        <f aca="false">IF(OR($E262="",$I262=""),"",MIN(1,MIN(N($F262),$E262)+($E262-MIN(N($F262),$E262))*(1-$I262)))</f>
        <v/>
      </c>
      <c r="U262" s="23" t="str">
        <f aca="false">IF(OR($T262="",$Q262=""),"",1-(1-$T262)^$Q262)</f>
        <v/>
      </c>
      <c r="V262" s="23" t="str">
        <f aca="false">IF($M262&lt;&gt;"",$M262,IF($G262="","",MAX(1,(Setup!$B$6/$G262)^Setup!$B$7)))</f>
        <v/>
      </c>
      <c r="W262" s="22" t="str">
        <f aca="false">IF(COUNT($J262:$L262)&lt;3,"",Setup!$B$10*(6-$J262)+Setup!$B$11*$K262+Setup!$B$12*$L262)</f>
        <v/>
      </c>
      <c r="X262" s="23" t="str">
        <f aca="false">IF($W262="","",IF(LEFT(Setup!$B$15,1)="B",EXP(Setup!$B$14*($W262-1)),1+Setup!$B$14*($W262-1)))</f>
        <v/>
      </c>
      <c r="Y262" s="23" t="str">
        <f aca="false">IF($N262&lt;&gt;"",$N262,$X262)</f>
        <v/>
      </c>
      <c r="Z262" s="22" t="str">
        <f aca="false">IF(OR($H262="",$U262="",$V262=""),"",$H262*$U262*$V262)</f>
        <v/>
      </c>
      <c r="AA262" s="22" t="str">
        <f aca="false">IF(OR($Z262="",$Y262=""),"",$Z262*$Y262)</f>
        <v/>
      </c>
      <c r="AB262" s="1" t="str">
        <f aca="false">IF($A262="","",IF(OR($E262="",$G262="",$H262="",$I262="",AND($N262="",COUNT($J262:$L262)&lt;3)),"Missing: "&amp;IF($E262="","P ","")&amp;IF($G262="","T ","")&amp;IF($H262="","I ","")&amp;IF($I262="","C ","")&amp;IF(AND($N262="",COUNT($J262:$L262)&lt;3),"C_ctrl/C_ext/C_irr",""),IF(N($F262)&gt;$E262,"P_floor &gt; P (floor capped at P)","OK")))</f>
        <v/>
      </c>
      <c r="AC262" s="1" t="str">
        <f aca="false">IF($AA262="","",$AA262+ROW()/1000000)</f>
        <v/>
      </c>
      <c r="AD262" s="18" t="n">
        <f aca="false">IF(AND($A262&lt;&gt;"",ISNUMBER($AA262)),1,0)</f>
        <v>0</v>
      </c>
      <c r="AE262" s="18" t="n">
        <f aca="false">IF($AD262=1,$H262,0)</f>
        <v>0</v>
      </c>
      <c r="AF262" s="18" t="n">
        <f aca="false">IF($AD262=1,$E262,0)</f>
        <v>0</v>
      </c>
      <c r="AG262" s="18" t="n">
        <f aca="false">IF($AD262=1,MIN(N($F262),$E262),0)</f>
        <v>0</v>
      </c>
      <c r="AH262" s="18" t="n">
        <f aca="false">IF($AD262=1,$I262,0)</f>
        <v>0</v>
      </c>
      <c r="AI262" s="18" t="n">
        <f aca="false">IF($AD262=1,$G262,1)</f>
        <v>1</v>
      </c>
      <c r="AJ262" s="18" t="n">
        <f aca="false">IF($AD262=1,$V262,1)</f>
        <v>1</v>
      </c>
      <c r="AK262" s="18" t="n">
        <f aca="false">IF($AD262=1,$Y262,1)</f>
        <v>1</v>
      </c>
    </row>
    <row r="263" customFormat="false" ht="15" hidden="false" customHeight="false" outlineLevel="0" collapsed="false">
      <c r="A263" s="10"/>
      <c r="B263" s="10"/>
      <c r="C263" s="12"/>
      <c r="D263" s="17"/>
      <c r="E263" s="13"/>
      <c r="F263" s="21"/>
      <c r="G263" s="12"/>
      <c r="H263" s="12"/>
      <c r="I263" s="12"/>
      <c r="J263" s="12"/>
      <c r="K263" s="12"/>
      <c r="L263" s="12"/>
      <c r="M263" s="15"/>
      <c r="N263" s="15"/>
      <c r="O263" s="12"/>
      <c r="P263" s="17"/>
      <c r="Q263" s="22" t="str">
        <f aca="false">IF(OR($G263="",Setup!$B$5=""),"",Setup!$B$5/$G263)</f>
        <v/>
      </c>
      <c r="R263" s="23" t="str">
        <f aca="false">IF(OR($E263="",$Q263=""),"",1-(1-$E263)^$Q263)</f>
        <v/>
      </c>
      <c r="S263" s="22" t="str">
        <f aca="false">IF(OR($R263="",$H263=""),"",$H263*$R263)</f>
        <v/>
      </c>
      <c r="T263" s="23" t="str">
        <f aca="false">IF(OR($E263="",$I263=""),"",MIN(1,MIN(N($F263),$E263)+($E263-MIN(N($F263),$E263))*(1-$I263)))</f>
        <v/>
      </c>
      <c r="U263" s="23" t="str">
        <f aca="false">IF(OR($T263="",$Q263=""),"",1-(1-$T263)^$Q263)</f>
        <v/>
      </c>
      <c r="V263" s="23" t="str">
        <f aca="false">IF($M263&lt;&gt;"",$M263,IF($G263="","",MAX(1,(Setup!$B$6/$G263)^Setup!$B$7)))</f>
        <v/>
      </c>
      <c r="W263" s="22" t="str">
        <f aca="false">IF(COUNT($J263:$L263)&lt;3,"",Setup!$B$10*(6-$J263)+Setup!$B$11*$K263+Setup!$B$12*$L263)</f>
        <v/>
      </c>
      <c r="X263" s="23" t="str">
        <f aca="false">IF($W263="","",IF(LEFT(Setup!$B$15,1)="B",EXP(Setup!$B$14*($W263-1)),1+Setup!$B$14*($W263-1)))</f>
        <v/>
      </c>
      <c r="Y263" s="23" t="str">
        <f aca="false">IF($N263&lt;&gt;"",$N263,$X263)</f>
        <v/>
      </c>
      <c r="Z263" s="22" t="str">
        <f aca="false">IF(OR($H263="",$U263="",$V263=""),"",$H263*$U263*$V263)</f>
        <v/>
      </c>
      <c r="AA263" s="22" t="str">
        <f aca="false">IF(OR($Z263="",$Y263=""),"",$Z263*$Y263)</f>
        <v/>
      </c>
      <c r="AB263" s="1" t="str">
        <f aca="false">IF($A263="","",IF(OR($E263="",$G263="",$H263="",$I263="",AND($N263="",COUNT($J263:$L263)&lt;3)),"Missing: "&amp;IF($E263="","P ","")&amp;IF($G263="","T ","")&amp;IF($H263="","I ","")&amp;IF($I263="","C ","")&amp;IF(AND($N263="",COUNT($J263:$L263)&lt;3),"C_ctrl/C_ext/C_irr",""),IF(N($F263)&gt;$E263,"P_floor &gt; P (floor capped at P)","OK")))</f>
        <v/>
      </c>
      <c r="AC263" s="1" t="str">
        <f aca="false">IF($AA263="","",$AA263+ROW()/1000000)</f>
        <v/>
      </c>
      <c r="AD263" s="18" t="n">
        <f aca="false">IF(AND($A263&lt;&gt;"",ISNUMBER($AA263)),1,0)</f>
        <v>0</v>
      </c>
      <c r="AE263" s="18" t="n">
        <f aca="false">IF($AD263=1,$H263,0)</f>
        <v>0</v>
      </c>
      <c r="AF263" s="18" t="n">
        <f aca="false">IF($AD263=1,$E263,0)</f>
        <v>0</v>
      </c>
      <c r="AG263" s="18" t="n">
        <f aca="false">IF($AD263=1,MIN(N($F263),$E263),0)</f>
        <v>0</v>
      </c>
      <c r="AH263" s="18" t="n">
        <f aca="false">IF($AD263=1,$I263,0)</f>
        <v>0</v>
      </c>
      <c r="AI263" s="18" t="n">
        <f aca="false">IF($AD263=1,$G263,1)</f>
        <v>1</v>
      </c>
      <c r="AJ263" s="18" t="n">
        <f aca="false">IF($AD263=1,$V263,1)</f>
        <v>1</v>
      </c>
      <c r="AK263" s="18" t="n">
        <f aca="false">IF($AD263=1,$Y263,1)</f>
        <v>1</v>
      </c>
    </row>
    <row r="264" customFormat="false" ht="15" hidden="false" customHeight="false" outlineLevel="0" collapsed="false">
      <c r="A264" s="10"/>
      <c r="B264" s="10"/>
      <c r="C264" s="12"/>
      <c r="D264" s="17"/>
      <c r="E264" s="13"/>
      <c r="F264" s="21"/>
      <c r="G264" s="12"/>
      <c r="H264" s="12"/>
      <c r="I264" s="12"/>
      <c r="J264" s="12"/>
      <c r="K264" s="12"/>
      <c r="L264" s="12"/>
      <c r="M264" s="15"/>
      <c r="N264" s="15"/>
      <c r="O264" s="12"/>
      <c r="P264" s="17"/>
      <c r="Q264" s="22" t="str">
        <f aca="false">IF(OR($G264="",Setup!$B$5=""),"",Setup!$B$5/$G264)</f>
        <v/>
      </c>
      <c r="R264" s="23" t="str">
        <f aca="false">IF(OR($E264="",$Q264=""),"",1-(1-$E264)^$Q264)</f>
        <v/>
      </c>
      <c r="S264" s="22" t="str">
        <f aca="false">IF(OR($R264="",$H264=""),"",$H264*$R264)</f>
        <v/>
      </c>
      <c r="T264" s="23" t="str">
        <f aca="false">IF(OR($E264="",$I264=""),"",MIN(1,MIN(N($F264),$E264)+($E264-MIN(N($F264),$E264))*(1-$I264)))</f>
        <v/>
      </c>
      <c r="U264" s="23" t="str">
        <f aca="false">IF(OR($T264="",$Q264=""),"",1-(1-$T264)^$Q264)</f>
        <v/>
      </c>
      <c r="V264" s="23" t="str">
        <f aca="false">IF($M264&lt;&gt;"",$M264,IF($G264="","",MAX(1,(Setup!$B$6/$G264)^Setup!$B$7)))</f>
        <v/>
      </c>
      <c r="W264" s="22" t="str">
        <f aca="false">IF(COUNT($J264:$L264)&lt;3,"",Setup!$B$10*(6-$J264)+Setup!$B$11*$K264+Setup!$B$12*$L264)</f>
        <v/>
      </c>
      <c r="X264" s="23" t="str">
        <f aca="false">IF($W264="","",IF(LEFT(Setup!$B$15,1)="B",EXP(Setup!$B$14*($W264-1)),1+Setup!$B$14*($W264-1)))</f>
        <v/>
      </c>
      <c r="Y264" s="23" t="str">
        <f aca="false">IF($N264&lt;&gt;"",$N264,$X264)</f>
        <v/>
      </c>
      <c r="Z264" s="22" t="str">
        <f aca="false">IF(OR($H264="",$U264="",$V264=""),"",$H264*$U264*$V264)</f>
        <v/>
      </c>
      <c r="AA264" s="22" t="str">
        <f aca="false">IF(OR($Z264="",$Y264=""),"",$Z264*$Y264)</f>
        <v/>
      </c>
      <c r="AB264" s="1" t="str">
        <f aca="false">IF($A264="","",IF(OR($E264="",$G264="",$H264="",$I264="",AND($N264="",COUNT($J264:$L264)&lt;3)),"Missing: "&amp;IF($E264="","P ","")&amp;IF($G264="","T ","")&amp;IF($H264="","I ","")&amp;IF($I264="","C ","")&amp;IF(AND($N264="",COUNT($J264:$L264)&lt;3),"C_ctrl/C_ext/C_irr",""),IF(N($F264)&gt;$E264,"P_floor &gt; P (floor capped at P)","OK")))</f>
        <v/>
      </c>
      <c r="AC264" s="1" t="str">
        <f aca="false">IF($AA264="","",$AA264+ROW()/1000000)</f>
        <v/>
      </c>
      <c r="AD264" s="18" t="n">
        <f aca="false">IF(AND($A264&lt;&gt;"",ISNUMBER($AA264)),1,0)</f>
        <v>0</v>
      </c>
      <c r="AE264" s="18" t="n">
        <f aca="false">IF($AD264=1,$H264,0)</f>
        <v>0</v>
      </c>
      <c r="AF264" s="18" t="n">
        <f aca="false">IF($AD264=1,$E264,0)</f>
        <v>0</v>
      </c>
      <c r="AG264" s="18" t="n">
        <f aca="false">IF($AD264=1,MIN(N($F264),$E264),0)</f>
        <v>0</v>
      </c>
      <c r="AH264" s="18" t="n">
        <f aca="false">IF($AD264=1,$I264,0)</f>
        <v>0</v>
      </c>
      <c r="AI264" s="18" t="n">
        <f aca="false">IF($AD264=1,$G264,1)</f>
        <v>1</v>
      </c>
      <c r="AJ264" s="18" t="n">
        <f aca="false">IF($AD264=1,$V264,1)</f>
        <v>1</v>
      </c>
      <c r="AK264" s="18" t="n">
        <f aca="false">IF($AD264=1,$Y264,1)</f>
        <v>1</v>
      </c>
    </row>
    <row r="265" customFormat="false" ht="15" hidden="false" customHeight="false" outlineLevel="0" collapsed="false">
      <c r="A265" s="10"/>
      <c r="B265" s="10"/>
      <c r="C265" s="12"/>
      <c r="D265" s="17"/>
      <c r="E265" s="13"/>
      <c r="F265" s="21"/>
      <c r="G265" s="12"/>
      <c r="H265" s="12"/>
      <c r="I265" s="12"/>
      <c r="J265" s="12"/>
      <c r="K265" s="12"/>
      <c r="L265" s="12"/>
      <c r="M265" s="15"/>
      <c r="N265" s="15"/>
      <c r="O265" s="12"/>
      <c r="P265" s="17"/>
      <c r="Q265" s="22" t="str">
        <f aca="false">IF(OR($G265="",Setup!$B$5=""),"",Setup!$B$5/$G265)</f>
        <v/>
      </c>
      <c r="R265" s="23" t="str">
        <f aca="false">IF(OR($E265="",$Q265=""),"",1-(1-$E265)^$Q265)</f>
        <v/>
      </c>
      <c r="S265" s="22" t="str">
        <f aca="false">IF(OR($R265="",$H265=""),"",$H265*$R265)</f>
        <v/>
      </c>
      <c r="T265" s="23" t="str">
        <f aca="false">IF(OR($E265="",$I265=""),"",MIN(1,MIN(N($F265),$E265)+($E265-MIN(N($F265),$E265))*(1-$I265)))</f>
        <v/>
      </c>
      <c r="U265" s="23" t="str">
        <f aca="false">IF(OR($T265="",$Q265=""),"",1-(1-$T265)^$Q265)</f>
        <v/>
      </c>
      <c r="V265" s="23" t="str">
        <f aca="false">IF($M265&lt;&gt;"",$M265,IF($G265="","",MAX(1,(Setup!$B$6/$G265)^Setup!$B$7)))</f>
        <v/>
      </c>
      <c r="W265" s="22" t="str">
        <f aca="false">IF(COUNT($J265:$L265)&lt;3,"",Setup!$B$10*(6-$J265)+Setup!$B$11*$K265+Setup!$B$12*$L265)</f>
        <v/>
      </c>
      <c r="X265" s="23" t="str">
        <f aca="false">IF($W265="","",IF(LEFT(Setup!$B$15,1)="B",EXP(Setup!$B$14*($W265-1)),1+Setup!$B$14*($W265-1)))</f>
        <v/>
      </c>
      <c r="Y265" s="23" t="str">
        <f aca="false">IF($N265&lt;&gt;"",$N265,$X265)</f>
        <v/>
      </c>
      <c r="Z265" s="22" t="str">
        <f aca="false">IF(OR($H265="",$U265="",$V265=""),"",$H265*$U265*$V265)</f>
        <v/>
      </c>
      <c r="AA265" s="22" t="str">
        <f aca="false">IF(OR($Z265="",$Y265=""),"",$Z265*$Y265)</f>
        <v/>
      </c>
      <c r="AB265" s="1" t="str">
        <f aca="false">IF($A265="","",IF(OR($E265="",$G265="",$H265="",$I265="",AND($N265="",COUNT($J265:$L265)&lt;3)),"Missing: "&amp;IF($E265="","P ","")&amp;IF($G265="","T ","")&amp;IF($H265="","I ","")&amp;IF($I265="","C ","")&amp;IF(AND($N265="",COUNT($J265:$L265)&lt;3),"C_ctrl/C_ext/C_irr",""),IF(N($F265)&gt;$E265,"P_floor &gt; P (floor capped at P)","OK")))</f>
        <v/>
      </c>
      <c r="AC265" s="1" t="str">
        <f aca="false">IF($AA265="","",$AA265+ROW()/1000000)</f>
        <v/>
      </c>
      <c r="AD265" s="18" t="n">
        <f aca="false">IF(AND($A265&lt;&gt;"",ISNUMBER($AA265)),1,0)</f>
        <v>0</v>
      </c>
      <c r="AE265" s="18" t="n">
        <f aca="false">IF($AD265=1,$H265,0)</f>
        <v>0</v>
      </c>
      <c r="AF265" s="18" t="n">
        <f aca="false">IF($AD265=1,$E265,0)</f>
        <v>0</v>
      </c>
      <c r="AG265" s="18" t="n">
        <f aca="false">IF($AD265=1,MIN(N($F265),$E265),0)</f>
        <v>0</v>
      </c>
      <c r="AH265" s="18" t="n">
        <f aca="false">IF($AD265=1,$I265,0)</f>
        <v>0</v>
      </c>
      <c r="AI265" s="18" t="n">
        <f aca="false">IF($AD265=1,$G265,1)</f>
        <v>1</v>
      </c>
      <c r="AJ265" s="18" t="n">
        <f aca="false">IF($AD265=1,$V265,1)</f>
        <v>1</v>
      </c>
      <c r="AK265" s="18" t="n">
        <f aca="false">IF($AD265=1,$Y265,1)</f>
        <v>1</v>
      </c>
    </row>
    <row r="266" customFormat="false" ht="15" hidden="false" customHeight="false" outlineLevel="0" collapsed="false">
      <c r="A266" s="10"/>
      <c r="B266" s="10"/>
      <c r="C266" s="12"/>
      <c r="D266" s="17"/>
      <c r="E266" s="13"/>
      <c r="F266" s="21"/>
      <c r="G266" s="12"/>
      <c r="H266" s="12"/>
      <c r="I266" s="12"/>
      <c r="J266" s="12"/>
      <c r="K266" s="12"/>
      <c r="L266" s="12"/>
      <c r="M266" s="15"/>
      <c r="N266" s="15"/>
      <c r="O266" s="12"/>
      <c r="P266" s="17"/>
      <c r="Q266" s="22" t="str">
        <f aca="false">IF(OR($G266="",Setup!$B$5=""),"",Setup!$B$5/$G266)</f>
        <v/>
      </c>
      <c r="R266" s="23" t="str">
        <f aca="false">IF(OR($E266="",$Q266=""),"",1-(1-$E266)^$Q266)</f>
        <v/>
      </c>
      <c r="S266" s="22" t="str">
        <f aca="false">IF(OR($R266="",$H266=""),"",$H266*$R266)</f>
        <v/>
      </c>
      <c r="T266" s="23" t="str">
        <f aca="false">IF(OR($E266="",$I266=""),"",MIN(1,MIN(N($F266),$E266)+($E266-MIN(N($F266),$E266))*(1-$I266)))</f>
        <v/>
      </c>
      <c r="U266" s="23" t="str">
        <f aca="false">IF(OR($T266="",$Q266=""),"",1-(1-$T266)^$Q266)</f>
        <v/>
      </c>
      <c r="V266" s="23" t="str">
        <f aca="false">IF($M266&lt;&gt;"",$M266,IF($G266="","",MAX(1,(Setup!$B$6/$G266)^Setup!$B$7)))</f>
        <v/>
      </c>
      <c r="W266" s="22" t="str">
        <f aca="false">IF(COUNT($J266:$L266)&lt;3,"",Setup!$B$10*(6-$J266)+Setup!$B$11*$K266+Setup!$B$12*$L266)</f>
        <v/>
      </c>
      <c r="X266" s="23" t="str">
        <f aca="false">IF($W266="","",IF(LEFT(Setup!$B$15,1)="B",EXP(Setup!$B$14*($W266-1)),1+Setup!$B$14*($W266-1)))</f>
        <v/>
      </c>
      <c r="Y266" s="23" t="str">
        <f aca="false">IF($N266&lt;&gt;"",$N266,$X266)</f>
        <v/>
      </c>
      <c r="Z266" s="22" t="str">
        <f aca="false">IF(OR($H266="",$U266="",$V266=""),"",$H266*$U266*$V266)</f>
        <v/>
      </c>
      <c r="AA266" s="22" t="str">
        <f aca="false">IF(OR($Z266="",$Y266=""),"",$Z266*$Y266)</f>
        <v/>
      </c>
      <c r="AB266" s="1" t="str">
        <f aca="false">IF($A266="","",IF(OR($E266="",$G266="",$H266="",$I266="",AND($N266="",COUNT($J266:$L266)&lt;3)),"Missing: "&amp;IF($E266="","P ","")&amp;IF($G266="","T ","")&amp;IF($H266="","I ","")&amp;IF($I266="","C ","")&amp;IF(AND($N266="",COUNT($J266:$L266)&lt;3),"C_ctrl/C_ext/C_irr",""),IF(N($F266)&gt;$E266,"P_floor &gt; P (floor capped at P)","OK")))</f>
        <v/>
      </c>
      <c r="AC266" s="1" t="str">
        <f aca="false">IF($AA266="","",$AA266+ROW()/1000000)</f>
        <v/>
      </c>
      <c r="AD266" s="18" t="n">
        <f aca="false">IF(AND($A266&lt;&gt;"",ISNUMBER($AA266)),1,0)</f>
        <v>0</v>
      </c>
      <c r="AE266" s="18" t="n">
        <f aca="false">IF($AD266=1,$H266,0)</f>
        <v>0</v>
      </c>
      <c r="AF266" s="18" t="n">
        <f aca="false">IF($AD266=1,$E266,0)</f>
        <v>0</v>
      </c>
      <c r="AG266" s="18" t="n">
        <f aca="false">IF($AD266=1,MIN(N($F266),$E266),0)</f>
        <v>0</v>
      </c>
      <c r="AH266" s="18" t="n">
        <f aca="false">IF($AD266=1,$I266,0)</f>
        <v>0</v>
      </c>
      <c r="AI266" s="18" t="n">
        <f aca="false">IF($AD266=1,$G266,1)</f>
        <v>1</v>
      </c>
      <c r="AJ266" s="18" t="n">
        <f aca="false">IF($AD266=1,$V266,1)</f>
        <v>1</v>
      </c>
      <c r="AK266" s="18" t="n">
        <f aca="false">IF($AD266=1,$Y266,1)</f>
        <v>1</v>
      </c>
    </row>
    <row r="267" customFormat="false" ht="15" hidden="false" customHeight="false" outlineLevel="0" collapsed="false">
      <c r="A267" s="10"/>
      <c r="B267" s="10"/>
      <c r="C267" s="12"/>
      <c r="D267" s="17"/>
      <c r="E267" s="13"/>
      <c r="F267" s="21"/>
      <c r="G267" s="12"/>
      <c r="H267" s="12"/>
      <c r="I267" s="12"/>
      <c r="J267" s="12"/>
      <c r="K267" s="12"/>
      <c r="L267" s="12"/>
      <c r="M267" s="15"/>
      <c r="N267" s="15"/>
      <c r="O267" s="12"/>
      <c r="P267" s="17"/>
      <c r="Q267" s="22" t="str">
        <f aca="false">IF(OR($G267="",Setup!$B$5=""),"",Setup!$B$5/$G267)</f>
        <v/>
      </c>
      <c r="R267" s="23" t="str">
        <f aca="false">IF(OR($E267="",$Q267=""),"",1-(1-$E267)^$Q267)</f>
        <v/>
      </c>
      <c r="S267" s="22" t="str">
        <f aca="false">IF(OR($R267="",$H267=""),"",$H267*$R267)</f>
        <v/>
      </c>
      <c r="T267" s="23" t="str">
        <f aca="false">IF(OR($E267="",$I267=""),"",MIN(1,MIN(N($F267),$E267)+($E267-MIN(N($F267),$E267))*(1-$I267)))</f>
        <v/>
      </c>
      <c r="U267" s="23" t="str">
        <f aca="false">IF(OR($T267="",$Q267=""),"",1-(1-$T267)^$Q267)</f>
        <v/>
      </c>
      <c r="V267" s="23" t="str">
        <f aca="false">IF($M267&lt;&gt;"",$M267,IF($G267="","",MAX(1,(Setup!$B$6/$G267)^Setup!$B$7)))</f>
        <v/>
      </c>
      <c r="W267" s="22" t="str">
        <f aca="false">IF(COUNT($J267:$L267)&lt;3,"",Setup!$B$10*(6-$J267)+Setup!$B$11*$K267+Setup!$B$12*$L267)</f>
        <v/>
      </c>
      <c r="X267" s="23" t="str">
        <f aca="false">IF($W267="","",IF(LEFT(Setup!$B$15,1)="B",EXP(Setup!$B$14*($W267-1)),1+Setup!$B$14*($W267-1)))</f>
        <v/>
      </c>
      <c r="Y267" s="23" t="str">
        <f aca="false">IF($N267&lt;&gt;"",$N267,$X267)</f>
        <v/>
      </c>
      <c r="Z267" s="22" t="str">
        <f aca="false">IF(OR($H267="",$U267="",$V267=""),"",$H267*$U267*$V267)</f>
        <v/>
      </c>
      <c r="AA267" s="22" t="str">
        <f aca="false">IF(OR($Z267="",$Y267=""),"",$Z267*$Y267)</f>
        <v/>
      </c>
      <c r="AB267" s="1" t="str">
        <f aca="false">IF($A267="","",IF(OR($E267="",$G267="",$H267="",$I267="",AND($N267="",COUNT($J267:$L267)&lt;3)),"Missing: "&amp;IF($E267="","P ","")&amp;IF($G267="","T ","")&amp;IF($H267="","I ","")&amp;IF($I267="","C ","")&amp;IF(AND($N267="",COUNT($J267:$L267)&lt;3),"C_ctrl/C_ext/C_irr",""),IF(N($F267)&gt;$E267,"P_floor &gt; P (floor capped at P)","OK")))</f>
        <v/>
      </c>
      <c r="AC267" s="1" t="str">
        <f aca="false">IF($AA267="","",$AA267+ROW()/1000000)</f>
        <v/>
      </c>
      <c r="AD267" s="18" t="n">
        <f aca="false">IF(AND($A267&lt;&gt;"",ISNUMBER($AA267)),1,0)</f>
        <v>0</v>
      </c>
      <c r="AE267" s="18" t="n">
        <f aca="false">IF($AD267=1,$H267,0)</f>
        <v>0</v>
      </c>
      <c r="AF267" s="18" t="n">
        <f aca="false">IF($AD267=1,$E267,0)</f>
        <v>0</v>
      </c>
      <c r="AG267" s="18" t="n">
        <f aca="false">IF($AD267=1,MIN(N($F267),$E267),0)</f>
        <v>0</v>
      </c>
      <c r="AH267" s="18" t="n">
        <f aca="false">IF($AD267=1,$I267,0)</f>
        <v>0</v>
      </c>
      <c r="AI267" s="18" t="n">
        <f aca="false">IF($AD267=1,$G267,1)</f>
        <v>1</v>
      </c>
      <c r="AJ267" s="18" t="n">
        <f aca="false">IF($AD267=1,$V267,1)</f>
        <v>1</v>
      </c>
      <c r="AK267" s="18" t="n">
        <f aca="false">IF($AD267=1,$Y267,1)</f>
        <v>1</v>
      </c>
    </row>
    <row r="268" customFormat="false" ht="15" hidden="false" customHeight="false" outlineLevel="0" collapsed="false">
      <c r="A268" s="10"/>
      <c r="B268" s="10"/>
      <c r="C268" s="12"/>
      <c r="D268" s="17"/>
      <c r="E268" s="13"/>
      <c r="F268" s="21"/>
      <c r="G268" s="12"/>
      <c r="H268" s="12"/>
      <c r="I268" s="12"/>
      <c r="J268" s="12"/>
      <c r="K268" s="12"/>
      <c r="L268" s="12"/>
      <c r="M268" s="15"/>
      <c r="N268" s="15"/>
      <c r="O268" s="12"/>
      <c r="P268" s="17"/>
      <c r="Q268" s="22" t="str">
        <f aca="false">IF(OR($G268="",Setup!$B$5=""),"",Setup!$B$5/$G268)</f>
        <v/>
      </c>
      <c r="R268" s="23" t="str">
        <f aca="false">IF(OR($E268="",$Q268=""),"",1-(1-$E268)^$Q268)</f>
        <v/>
      </c>
      <c r="S268" s="22" t="str">
        <f aca="false">IF(OR($R268="",$H268=""),"",$H268*$R268)</f>
        <v/>
      </c>
      <c r="T268" s="23" t="str">
        <f aca="false">IF(OR($E268="",$I268=""),"",MIN(1,MIN(N($F268),$E268)+($E268-MIN(N($F268),$E268))*(1-$I268)))</f>
        <v/>
      </c>
      <c r="U268" s="23" t="str">
        <f aca="false">IF(OR($T268="",$Q268=""),"",1-(1-$T268)^$Q268)</f>
        <v/>
      </c>
      <c r="V268" s="23" t="str">
        <f aca="false">IF($M268&lt;&gt;"",$M268,IF($G268="","",MAX(1,(Setup!$B$6/$G268)^Setup!$B$7)))</f>
        <v/>
      </c>
      <c r="W268" s="22" t="str">
        <f aca="false">IF(COUNT($J268:$L268)&lt;3,"",Setup!$B$10*(6-$J268)+Setup!$B$11*$K268+Setup!$B$12*$L268)</f>
        <v/>
      </c>
      <c r="X268" s="23" t="str">
        <f aca="false">IF($W268="","",IF(LEFT(Setup!$B$15,1)="B",EXP(Setup!$B$14*($W268-1)),1+Setup!$B$14*($W268-1)))</f>
        <v/>
      </c>
      <c r="Y268" s="23" t="str">
        <f aca="false">IF($N268&lt;&gt;"",$N268,$X268)</f>
        <v/>
      </c>
      <c r="Z268" s="22" t="str">
        <f aca="false">IF(OR($H268="",$U268="",$V268=""),"",$H268*$U268*$V268)</f>
        <v/>
      </c>
      <c r="AA268" s="22" t="str">
        <f aca="false">IF(OR($Z268="",$Y268=""),"",$Z268*$Y268)</f>
        <v/>
      </c>
      <c r="AB268" s="1" t="str">
        <f aca="false">IF($A268="","",IF(OR($E268="",$G268="",$H268="",$I268="",AND($N268="",COUNT($J268:$L268)&lt;3)),"Missing: "&amp;IF($E268="","P ","")&amp;IF($G268="","T ","")&amp;IF($H268="","I ","")&amp;IF($I268="","C ","")&amp;IF(AND($N268="",COUNT($J268:$L268)&lt;3),"C_ctrl/C_ext/C_irr",""),IF(N($F268)&gt;$E268,"P_floor &gt; P (floor capped at P)","OK")))</f>
        <v/>
      </c>
      <c r="AC268" s="1" t="str">
        <f aca="false">IF($AA268="","",$AA268+ROW()/1000000)</f>
        <v/>
      </c>
      <c r="AD268" s="18" t="n">
        <f aca="false">IF(AND($A268&lt;&gt;"",ISNUMBER($AA268)),1,0)</f>
        <v>0</v>
      </c>
      <c r="AE268" s="18" t="n">
        <f aca="false">IF($AD268=1,$H268,0)</f>
        <v>0</v>
      </c>
      <c r="AF268" s="18" t="n">
        <f aca="false">IF($AD268=1,$E268,0)</f>
        <v>0</v>
      </c>
      <c r="AG268" s="18" t="n">
        <f aca="false">IF($AD268=1,MIN(N($F268),$E268),0)</f>
        <v>0</v>
      </c>
      <c r="AH268" s="18" t="n">
        <f aca="false">IF($AD268=1,$I268,0)</f>
        <v>0</v>
      </c>
      <c r="AI268" s="18" t="n">
        <f aca="false">IF($AD268=1,$G268,1)</f>
        <v>1</v>
      </c>
      <c r="AJ268" s="18" t="n">
        <f aca="false">IF($AD268=1,$V268,1)</f>
        <v>1</v>
      </c>
      <c r="AK268" s="18" t="n">
        <f aca="false">IF($AD268=1,$Y268,1)</f>
        <v>1</v>
      </c>
    </row>
    <row r="269" customFormat="false" ht="15" hidden="false" customHeight="false" outlineLevel="0" collapsed="false">
      <c r="A269" s="10"/>
      <c r="B269" s="10"/>
      <c r="C269" s="12"/>
      <c r="D269" s="17"/>
      <c r="E269" s="13"/>
      <c r="F269" s="21"/>
      <c r="G269" s="12"/>
      <c r="H269" s="12"/>
      <c r="I269" s="12"/>
      <c r="J269" s="12"/>
      <c r="K269" s="12"/>
      <c r="L269" s="12"/>
      <c r="M269" s="15"/>
      <c r="N269" s="15"/>
      <c r="O269" s="12"/>
      <c r="P269" s="17"/>
      <c r="Q269" s="22" t="str">
        <f aca="false">IF(OR($G269="",Setup!$B$5=""),"",Setup!$B$5/$G269)</f>
        <v/>
      </c>
      <c r="R269" s="23" t="str">
        <f aca="false">IF(OR($E269="",$Q269=""),"",1-(1-$E269)^$Q269)</f>
        <v/>
      </c>
      <c r="S269" s="22" t="str">
        <f aca="false">IF(OR($R269="",$H269=""),"",$H269*$R269)</f>
        <v/>
      </c>
      <c r="T269" s="23" t="str">
        <f aca="false">IF(OR($E269="",$I269=""),"",MIN(1,MIN(N($F269),$E269)+($E269-MIN(N($F269),$E269))*(1-$I269)))</f>
        <v/>
      </c>
      <c r="U269" s="23" t="str">
        <f aca="false">IF(OR($T269="",$Q269=""),"",1-(1-$T269)^$Q269)</f>
        <v/>
      </c>
      <c r="V269" s="23" t="str">
        <f aca="false">IF($M269&lt;&gt;"",$M269,IF($G269="","",MAX(1,(Setup!$B$6/$G269)^Setup!$B$7)))</f>
        <v/>
      </c>
      <c r="W269" s="22" t="str">
        <f aca="false">IF(COUNT($J269:$L269)&lt;3,"",Setup!$B$10*(6-$J269)+Setup!$B$11*$K269+Setup!$B$12*$L269)</f>
        <v/>
      </c>
      <c r="X269" s="23" t="str">
        <f aca="false">IF($W269="","",IF(LEFT(Setup!$B$15,1)="B",EXP(Setup!$B$14*($W269-1)),1+Setup!$B$14*($W269-1)))</f>
        <v/>
      </c>
      <c r="Y269" s="23" t="str">
        <f aca="false">IF($N269&lt;&gt;"",$N269,$X269)</f>
        <v/>
      </c>
      <c r="Z269" s="22" t="str">
        <f aca="false">IF(OR($H269="",$U269="",$V269=""),"",$H269*$U269*$V269)</f>
        <v/>
      </c>
      <c r="AA269" s="22" t="str">
        <f aca="false">IF(OR($Z269="",$Y269=""),"",$Z269*$Y269)</f>
        <v/>
      </c>
      <c r="AB269" s="1" t="str">
        <f aca="false">IF($A269="","",IF(OR($E269="",$G269="",$H269="",$I269="",AND($N269="",COUNT($J269:$L269)&lt;3)),"Missing: "&amp;IF($E269="","P ","")&amp;IF($G269="","T ","")&amp;IF($H269="","I ","")&amp;IF($I269="","C ","")&amp;IF(AND($N269="",COUNT($J269:$L269)&lt;3),"C_ctrl/C_ext/C_irr",""),IF(N($F269)&gt;$E269,"P_floor &gt; P (floor capped at P)","OK")))</f>
        <v/>
      </c>
      <c r="AC269" s="1" t="str">
        <f aca="false">IF($AA269="","",$AA269+ROW()/1000000)</f>
        <v/>
      </c>
      <c r="AD269" s="18" t="n">
        <f aca="false">IF(AND($A269&lt;&gt;"",ISNUMBER($AA269)),1,0)</f>
        <v>0</v>
      </c>
      <c r="AE269" s="18" t="n">
        <f aca="false">IF($AD269=1,$H269,0)</f>
        <v>0</v>
      </c>
      <c r="AF269" s="18" t="n">
        <f aca="false">IF($AD269=1,$E269,0)</f>
        <v>0</v>
      </c>
      <c r="AG269" s="18" t="n">
        <f aca="false">IF($AD269=1,MIN(N($F269),$E269),0)</f>
        <v>0</v>
      </c>
      <c r="AH269" s="18" t="n">
        <f aca="false">IF($AD269=1,$I269,0)</f>
        <v>0</v>
      </c>
      <c r="AI269" s="18" t="n">
        <f aca="false">IF($AD269=1,$G269,1)</f>
        <v>1</v>
      </c>
      <c r="AJ269" s="18" t="n">
        <f aca="false">IF($AD269=1,$V269,1)</f>
        <v>1</v>
      </c>
      <c r="AK269" s="18" t="n">
        <f aca="false">IF($AD269=1,$Y269,1)</f>
        <v>1</v>
      </c>
    </row>
    <row r="270" customFormat="false" ht="15" hidden="false" customHeight="false" outlineLevel="0" collapsed="false">
      <c r="A270" s="10"/>
      <c r="B270" s="10"/>
      <c r="C270" s="12"/>
      <c r="D270" s="17"/>
      <c r="E270" s="13"/>
      <c r="F270" s="21"/>
      <c r="G270" s="12"/>
      <c r="H270" s="12"/>
      <c r="I270" s="12"/>
      <c r="J270" s="12"/>
      <c r="K270" s="12"/>
      <c r="L270" s="12"/>
      <c r="M270" s="15"/>
      <c r="N270" s="15"/>
      <c r="O270" s="12"/>
      <c r="P270" s="17"/>
      <c r="Q270" s="22" t="str">
        <f aca="false">IF(OR($G270="",Setup!$B$5=""),"",Setup!$B$5/$G270)</f>
        <v/>
      </c>
      <c r="R270" s="23" t="str">
        <f aca="false">IF(OR($E270="",$Q270=""),"",1-(1-$E270)^$Q270)</f>
        <v/>
      </c>
      <c r="S270" s="22" t="str">
        <f aca="false">IF(OR($R270="",$H270=""),"",$H270*$R270)</f>
        <v/>
      </c>
      <c r="T270" s="23" t="str">
        <f aca="false">IF(OR($E270="",$I270=""),"",MIN(1,MIN(N($F270),$E270)+($E270-MIN(N($F270),$E270))*(1-$I270)))</f>
        <v/>
      </c>
      <c r="U270" s="23" t="str">
        <f aca="false">IF(OR($T270="",$Q270=""),"",1-(1-$T270)^$Q270)</f>
        <v/>
      </c>
      <c r="V270" s="23" t="str">
        <f aca="false">IF($M270&lt;&gt;"",$M270,IF($G270="","",MAX(1,(Setup!$B$6/$G270)^Setup!$B$7)))</f>
        <v/>
      </c>
      <c r="W270" s="22" t="str">
        <f aca="false">IF(COUNT($J270:$L270)&lt;3,"",Setup!$B$10*(6-$J270)+Setup!$B$11*$K270+Setup!$B$12*$L270)</f>
        <v/>
      </c>
      <c r="X270" s="23" t="str">
        <f aca="false">IF($W270="","",IF(LEFT(Setup!$B$15,1)="B",EXP(Setup!$B$14*($W270-1)),1+Setup!$B$14*($W270-1)))</f>
        <v/>
      </c>
      <c r="Y270" s="23" t="str">
        <f aca="false">IF($N270&lt;&gt;"",$N270,$X270)</f>
        <v/>
      </c>
      <c r="Z270" s="22" t="str">
        <f aca="false">IF(OR($H270="",$U270="",$V270=""),"",$H270*$U270*$V270)</f>
        <v/>
      </c>
      <c r="AA270" s="22" t="str">
        <f aca="false">IF(OR($Z270="",$Y270=""),"",$Z270*$Y270)</f>
        <v/>
      </c>
      <c r="AB270" s="1" t="str">
        <f aca="false">IF($A270="","",IF(OR($E270="",$G270="",$H270="",$I270="",AND($N270="",COUNT($J270:$L270)&lt;3)),"Missing: "&amp;IF($E270="","P ","")&amp;IF($G270="","T ","")&amp;IF($H270="","I ","")&amp;IF($I270="","C ","")&amp;IF(AND($N270="",COUNT($J270:$L270)&lt;3),"C_ctrl/C_ext/C_irr",""),IF(N($F270)&gt;$E270,"P_floor &gt; P (floor capped at P)","OK")))</f>
        <v/>
      </c>
      <c r="AC270" s="1" t="str">
        <f aca="false">IF($AA270="","",$AA270+ROW()/1000000)</f>
        <v/>
      </c>
      <c r="AD270" s="18" t="n">
        <f aca="false">IF(AND($A270&lt;&gt;"",ISNUMBER($AA270)),1,0)</f>
        <v>0</v>
      </c>
      <c r="AE270" s="18" t="n">
        <f aca="false">IF($AD270=1,$H270,0)</f>
        <v>0</v>
      </c>
      <c r="AF270" s="18" t="n">
        <f aca="false">IF($AD270=1,$E270,0)</f>
        <v>0</v>
      </c>
      <c r="AG270" s="18" t="n">
        <f aca="false">IF($AD270=1,MIN(N($F270),$E270),0)</f>
        <v>0</v>
      </c>
      <c r="AH270" s="18" t="n">
        <f aca="false">IF($AD270=1,$I270,0)</f>
        <v>0</v>
      </c>
      <c r="AI270" s="18" t="n">
        <f aca="false">IF($AD270=1,$G270,1)</f>
        <v>1</v>
      </c>
      <c r="AJ270" s="18" t="n">
        <f aca="false">IF($AD270=1,$V270,1)</f>
        <v>1</v>
      </c>
      <c r="AK270" s="18" t="n">
        <f aca="false">IF($AD270=1,$Y270,1)</f>
        <v>1</v>
      </c>
    </row>
    <row r="271" customFormat="false" ht="15" hidden="false" customHeight="false" outlineLevel="0" collapsed="false">
      <c r="A271" s="10"/>
      <c r="B271" s="10"/>
      <c r="C271" s="12"/>
      <c r="D271" s="17"/>
      <c r="E271" s="13"/>
      <c r="F271" s="21"/>
      <c r="G271" s="12"/>
      <c r="H271" s="12"/>
      <c r="I271" s="12"/>
      <c r="J271" s="12"/>
      <c r="K271" s="12"/>
      <c r="L271" s="12"/>
      <c r="M271" s="15"/>
      <c r="N271" s="15"/>
      <c r="O271" s="12"/>
      <c r="P271" s="17"/>
      <c r="Q271" s="22" t="str">
        <f aca="false">IF(OR($G271="",Setup!$B$5=""),"",Setup!$B$5/$G271)</f>
        <v/>
      </c>
      <c r="R271" s="23" t="str">
        <f aca="false">IF(OR($E271="",$Q271=""),"",1-(1-$E271)^$Q271)</f>
        <v/>
      </c>
      <c r="S271" s="22" t="str">
        <f aca="false">IF(OR($R271="",$H271=""),"",$H271*$R271)</f>
        <v/>
      </c>
      <c r="T271" s="23" t="str">
        <f aca="false">IF(OR($E271="",$I271=""),"",MIN(1,MIN(N($F271),$E271)+($E271-MIN(N($F271),$E271))*(1-$I271)))</f>
        <v/>
      </c>
      <c r="U271" s="23" t="str">
        <f aca="false">IF(OR($T271="",$Q271=""),"",1-(1-$T271)^$Q271)</f>
        <v/>
      </c>
      <c r="V271" s="23" t="str">
        <f aca="false">IF($M271&lt;&gt;"",$M271,IF($G271="","",MAX(1,(Setup!$B$6/$G271)^Setup!$B$7)))</f>
        <v/>
      </c>
      <c r="W271" s="22" t="str">
        <f aca="false">IF(COUNT($J271:$L271)&lt;3,"",Setup!$B$10*(6-$J271)+Setup!$B$11*$K271+Setup!$B$12*$L271)</f>
        <v/>
      </c>
      <c r="X271" s="23" t="str">
        <f aca="false">IF($W271="","",IF(LEFT(Setup!$B$15,1)="B",EXP(Setup!$B$14*($W271-1)),1+Setup!$B$14*($W271-1)))</f>
        <v/>
      </c>
      <c r="Y271" s="23" t="str">
        <f aca="false">IF($N271&lt;&gt;"",$N271,$X271)</f>
        <v/>
      </c>
      <c r="Z271" s="22" t="str">
        <f aca="false">IF(OR($H271="",$U271="",$V271=""),"",$H271*$U271*$V271)</f>
        <v/>
      </c>
      <c r="AA271" s="22" t="str">
        <f aca="false">IF(OR($Z271="",$Y271=""),"",$Z271*$Y271)</f>
        <v/>
      </c>
      <c r="AB271" s="1" t="str">
        <f aca="false">IF($A271="","",IF(OR($E271="",$G271="",$H271="",$I271="",AND($N271="",COUNT($J271:$L271)&lt;3)),"Missing: "&amp;IF($E271="","P ","")&amp;IF($G271="","T ","")&amp;IF($H271="","I ","")&amp;IF($I271="","C ","")&amp;IF(AND($N271="",COUNT($J271:$L271)&lt;3),"C_ctrl/C_ext/C_irr",""),IF(N($F271)&gt;$E271,"P_floor &gt; P (floor capped at P)","OK")))</f>
        <v/>
      </c>
      <c r="AC271" s="1" t="str">
        <f aca="false">IF($AA271="","",$AA271+ROW()/1000000)</f>
        <v/>
      </c>
      <c r="AD271" s="18" t="n">
        <f aca="false">IF(AND($A271&lt;&gt;"",ISNUMBER($AA271)),1,0)</f>
        <v>0</v>
      </c>
      <c r="AE271" s="18" t="n">
        <f aca="false">IF($AD271=1,$H271,0)</f>
        <v>0</v>
      </c>
      <c r="AF271" s="18" t="n">
        <f aca="false">IF($AD271=1,$E271,0)</f>
        <v>0</v>
      </c>
      <c r="AG271" s="18" t="n">
        <f aca="false">IF($AD271=1,MIN(N($F271),$E271),0)</f>
        <v>0</v>
      </c>
      <c r="AH271" s="18" t="n">
        <f aca="false">IF($AD271=1,$I271,0)</f>
        <v>0</v>
      </c>
      <c r="AI271" s="18" t="n">
        <f aca="false">IF($AD271=1,$G271,1)</f>
        <v>1</v>
      </c>
      <c r="AJ271" s="18" t="n">
        <f aca="false">IF($AD271=1,$V271,1)</f>
        <v>1</v>
      </c>
      <c r="AK271" s="18" t="n">
        <f aca="false">IF($AD271=1,$Y271,1)</f>
        <v>1</v>
      </c>
    </row>
    <row r="272" customFormat="false" ht="15" hidden="false" customHeight="false" outlineLevel="0" collapsed="false">
      <c r="A272" s="10"/>
      <c r="B272" s="10"/>
      <c r="C272" s="12"/>
      <c r="D272" s="17"/>
      <c r="E272" s="13"/>
      <c r="F272" s="21"/>
      <c r="G272" s="12"/>
      <c r="H272" s="12"/>
      <c r="I272" s="12"/>
      <c r="J272" s="12"/>
      <c r="K272" s="12"/>
      <c r="L272" s="12"/>
      <c r="M272" s="15"/>
      <c r="N272" s="15"/>
      <c r="O272" s="12"/>
      <c r="P272" s="17"/>
      <c r="Q272" s="22" t="str">
        <f aca="false">IF(OR($G272="",Setup!$B$5=""),"",Setup!$B$5/$G272)</f>
        <v/>
      </c>
      <c r="R272" s="23" t="str">
        <f aca="false">IF(OR($E272="",$Q272=""),"",1-(1-$E272)^$Q272)</f>
        <v/>
      </c>
      <c r="S272" s="22" t="str">
        <f aca="false">IF(OR($R272="",$H272=""),"",$H272*$R272)</f>
        <v/>
      </c>
      <c r="T272" s="23" t="str">
        <f aca="false">IF(OR($E272="",$I272=""),"",MIN(1,MIN(N($F272),$E272)+($E272-MIN(N($F272),$E272))*(1-$I272)))</f>
        <v/>
      </c>
      <c r="U272" s="23" t="str">
        <f aca="false">IF(OR($T272="",$Q272=""),"",1-(1-$T272)^$Q272)</f>
        <v/>
      </c>
      <c r="V272" s="23" t="str">
        <f aca="false">IF($M272&lt;&gt;"",$M272,IF($G272="","",MAX(1,(Setup!$B$6/$G272)^Setup!$B$7)))</f>
        <v/>
      </c>
      <c r="W272" s="22" t="str">
        <f aca="false">IF(COUNT($J272:$L272)&lt;3,"",Setup!$B$10*(6-$J272)+Setup!$B$11*$K272+Setup!$B$12*$L272)</f>
        <v/>
      </c>
      <c r="X272" s="23" t="str">
        <f aca="false">IF($W272="","",IF(LEFT(Setup!$B$15,1)="B",EXP(Setup!$B$14*($W272-1)),1+Setup!$B$14*($W272-1)))</f>
        <v/>
      </c>
      <c r="Y272" s="23" t="str">
        <f aca="false">IF($N272&lt;&gt;"",$N272,$X272)</f>
        <v/>
      </c>
      <c r="Z272" s="22" t="str">
        <f aca="false">IF(OR($H272="",$U272="",$V272=""),"",$H272*$U272*$V272)</f>
        <v/>
      </c>
      <c r="AA272" s="22" t="str">
        <f aca="false">IF(OR($Z272="",$Y272=""),"",$Z272*$Y272)</f>
        <v/>
      </c>
      <c r="AB272" s="1" t="str">
        <f aca="false">IF($A272="","",IF(OR($E272="",$G272="",$H272="",$I272="",AND($N272="",COUNT($J272:$L272)&lt;3)),"Missing: "&amp;IF($E272="","P ","")&amp;IF($G272="","T ","")&amp;IF($H272="","I ","")&amp;IF($I272="","C ","")&amp;IF(AND($N272="",COUNT($J272:$L272)&lt;3),"C_ctrl/C_ext/C_irr",""),IF(N($F272)&gt;$E272,"P_floor &gt; P (floor capped at P)","OK")))</f>
        <v/>
      </c>
      <c r="AC272" s="1" t="str">
        <f aca="false">IF($AA272="","",$AA272+ROW()/1000000)</f>
        <v/>
      </c>
      <c r="AD272" s="18" t="n">
        <f aca="false">IF(AND($A272&lt;&gt;"",ISNUMBER($AA272)),1,0)</f>
        <v>0</v>
      </c>
      <c r="AE272" s="18" t="n">
        <f aca="false">IF($AD272=1,$H272,0)</f>
        <v>0</v>
      </c>
      <c r="AF272" s="18" t="n">
        <f aca="false">IF($AD272=1,$E272,0)</f>
        <v>0</v>
      </c>
      <c r="AG272" s="18" t="n">
        <f aca="false">IF($AD272=1,MIN(N($F272),$E272),0)</f>
        <v>0</v>
      </c>
      <c r="AH272" s="18" t="n">
        <f aca="false">IF($AD272=1,$I272,0)</f>
        <v>0</v>
      </c>
      <c r="AI272" s="18" t="n">
        <f aca="false">IF($AD272=1,$G272,1)</f>
        <v>1</v>
      </c>
      <c r="AJ272" s="18" t="n">
        <f aca="false">IF($AD272=1,$V272,1)</f>
        <v>1</v>
      </c>
      <c r="AK272" s="18" t="n">
        <f aca="false">IF($AD272=1,$Y272,1)</f>
        <v>1</v>
      </c>
    </row>
    <row r="273" customFormat="false" ht="15" hidden="false" customHeight="false" outlineLevel="0" collapsed="false">
      <c r="A273" s="10"/>
      <c r="B273" s="10"/>
      <c r="C273" s="12"/>
      <c r="D273" s="17"/>
      <c r="E273" s="13"/>
      <c r="F273" s="21"/>
      <c r="G273" s="12"/>
      <c r="H273" s="12"/>
      <c r="I273" s="12"/>
      <c r="J273" s="12"/>
      <c r="K273" s="12"/>
      <c r="L273" s="12"/>
      <c r="M273" s="15"/>
      <c r="N273" s="15"/>
      <c r="O273" s="12"/>
      <c r="P273" s="17"/>
      <c r="Q273" s="22" t="str">
        <f aca="false">IF(OR($G273="",Setup!$B$5=""),"",Setup!$B$5/$G273)</f>
        <v/>
      </c>
      <c r="R273" s="23" t="str">
        <f aca="false">IF(OR($E273="",$Q273=""),"",1-(1-$E273)^$Q273)</f>
        <v/>
      </c>
      <c r="S273" s="22" t="str">
        <f aca="false">IF(OR($R273="",$H273=""),"",$H273*$R273)</f>
        <v/>
      </c>
      <c r="T273" s="23" t="str">
        <f aca="false">IF(OR($E273="",$I273=""),"",MIN(1,MIN(N($F273),$E273)+($E273-MIN(N($F273),$E273))*(1-$I273)))</f>
        <v/>
      </c>
      <c r="U273" s="23" t="str">
        <f aca="false">IF(OR($T273="",$Q273=""),"",1-(1-$T273)^$Q273)</f>
        <v/>
      </c>
      <c r="V273" s="23" t="str">
        <f aca="false">IF($M273&lt;&gt;"",$M273,IF($G273="","",MAX(1,(Setup!$B$6/$G273)^Setup!$B$7)))</f>
        <v/>
      </c>
      <c r="W273" s="22" t="str">
        <f aca="false">IF(COUNT($J273:$L273)&lt;3,"",Setup!$B$10*(6-$J273)+Setup!$B$11*$K273+Setup!$B$12*$L273)</f>
        <v/>
      </c>
      <c r="X273" s="23" t="str">
        <f aca="false">IF($W273="","",IF(LEFT(Setup!$B$15,1)="B",EXP(Setup!$B$14*($W273-1)),1+Setup!$B$14*($W273-1)))</f>
        <v/>
      </c>
      <c r="Y273" s="23" t="str">
        <f aca="false">IF($N273&lt;&gt;"",$N273,$X273)</f>
        <v/>
      </c>
      <c r="Z273" s="22" t="str">
        <f aca="false">IF(OR($H273="",$U273="",$V273=""),"",$H273*$U273*$V273)</f>
        <v/>
      </c>
      <c r="AA273" s="22" t="str">
        <f aca="false">IF(OR($Z273="",$Y273=""),"",$Z273*$Y273)</f>
        <v/>
      </c>
      <c r="AB273" s="1" t="str">
        <f aca="false">IF($A273="","",IF(OR($E273="",$G273="",$H273="",$I273="",AND($N273="",COUNT($J273:$L273)&lt;3)),"Missing: "&amp;IF($E273="","P ","")&amp;IF($G273="","T ","")&amp;IF($H273="","I ","")&amp;IF($I273="","C ","")&amp;IF(AND($N273="",COUNT($J273:$L273)&lt;3),"C_ctrl/C_ext/C_irr",""),IF(N($F273)&gt;$E273,"P_floor &gt; P (floor capped at P)","OK")))</f>
        <v/>
      </c>
      <c r="AC273" s="1" t="str">
        <f aca="false">IF($AA273="","",$AA273+ROW()/1000000)</f>
        <v/>
      </c>
      <c r="AD273" s="18" t="n">
        <f aca="false">IF(AND($A273&lt;&gt;"",ISNUMBER($AA273)),1,0)</f>
        <v>0</v>
      </c>
      <c r="AE273" s="18" t="n">
        <f aca="false">IF($AD273=1,$H273,0)</f>
        <v>0</v>
      </c>
      <c r="AF273" s="18" t="n">
        <f aca="false">IF($AD273=1,$E273,0)</f>
        <v>0</v>
      </c>
      <c r="AG273" s="18" t="n">
        <f aca="false">IF($AD273=1,MIN(N($F273),$E273),0)</f>
        <v>0</v>
      </c>
      <c r="AH273" s="18" t="n">
        <f aca="false">IF($AD273=1,$I273,0)</f>
        <v>0</v>
      </c>
      <c r="AI273" s="18" t="n">
        <f aca="false">IF($AD273=1,$G273,1)</f>
        <v>1</v>
      </c>
      <c r="AJ273" s="18" t="n">
        <f aca="false">IF($AD273=1,$V273,1)</f>
        <v>1</v>
      </c>
      <c r="AK273" s="18" t="n">
        <f aca="false">IF($AD273=1,$Y273,1)</f>
        <v>1</v>
      </c>
    </row>
    <row r="274" customFormat="false" ht="15" hidden="false" customHeight="false" outlineLevel="0" collapsed="false">
      <c r="A274" s="10"/>
      <c r="B274" s="10"/>
      <c r="C274" s="12"/>
      <c r="D274" s="17"/>
      <c r="E274" s="13"/>
      <c r="F274" s="21"/>
      <c r="G274" s="12"/>
      <c r="H274" s="12"/>
      <c r="I274" s="12"/>
      <c r="J274" s="12"/>
      <c r="K274" s="12"/>
      <c r="L274" s="12"/>
      <c r="M274" s="15"/>
      <c r="N274" s="15"/>
      <c r="O274" s="12"/>
      <c r="P274" s="17"/>
      <c r="Q274" s="22" t="str">
        <f aca="false">IF(OR($G274="",Setup!$B$5=""),"",Setup!$B$5/$G274)</f>
        <v/>
      </c>
      <c r="R274" s="23" t="str">
        <f aca="false">IF(OR($E274="",$Q274=""),"",1-(1-$E274)^$Q274)</f>
        <v/>
      </c>
      <c r="S274" s="22" t="str">
        <f aca="false">IF(OR($R274="",$H274=""),"",$H274*$R274)</f>
        <v/>
      </c>
      <c r="T274" s="23" t="str">
        <f aca="false">IF(OR($E274="",$I274=""),"",MIN(1,MIN(N($F274),$E274)+($E274-MIN(N($F274),$E274))*(1-$I274)))</f>
        <v/>
      </c>
      <c r="U274" s="23" t="str">
        <f aca="false">IF(OR($T274="",$Q274=""),"",1-(1-$T274)^$Q274)</f>
        <v/>
      </c>
      <c r="V274" s="23" t="str">
        <f aca="false">IF($M274&lt;&gt;"",$M274,IF($G274="","",MAX(1,(Setup!$B$6/$G274)^Setup!$B$7)))</f>
        <v/>
      </c>
      <c r="W274" s="22" t="str">
        <f aca="false">IF(COUNT($J274:$L274)&lt;3,"",Setup!$B$10*(6-$J274)+Setup!$B$11*$K274+Setup!$B$12*$L274)</f>
        <v/>
      </c>
      <c r="X274" s="23" t="str">
        <f aca="false">IF($W274="","",IF(LEFT(Setup!$B$15,1)="B",EXP(Setup!$B$14*($W274-1)),1+Setup!$B$14*($W274-1)))</f>
        <v/>
      </c>
      <c r="Y274" s="23" t="str">
        <f aca="false">IF($N274&lt;&gt;"",$N274,$X274)</f>
        <v/>
      </c>
      <c r="Z274" s="22" t="str">
        <f aca="false">IF(OR($H274="",$U274="",$V274=""),"",$H274*$U274*$V274)</f>
        <v/>
      </c>
      <c r="AA274" s="22" t="str">
        <f aca="false">IF(OR($Z274="",$Y274=""),"",$Z274*$Y274)</f>
        <v/>
      </c>
      <c r="AB274" s="1" t="str">
        <f aca="false">IF($A274="","",IF(OR($E274="",$G274="",$H274="",$I274="",AND($N274="",COUNT($J274:$L274)&lt;3)),"Missing: "&amp;IF($E274="","P ","")&amp;IF($G274="","T ","")&amp;IF($H274="","I ","")&amp;IF($I274="","C ","")&amp;IF(AND($N274="",COUNT($J274:$L274)&lt;3),"C_ctrl/C_ext/C_irr",""),IF(N($F274)&gt;$E274,"P_floor &gt; P (floor capped at P)","OK")))</f>
        <v/>
      </c>
      <c r="AC274" s="1" t="str">
        <f aca="false">IF($AA274="","",$AA274+ROW()/1000000)</f>
        <v/>
      </c>
      <c r="AD274" s="18" t="n">
        <f aca="false">IF(AND($A274&lt;&gt;"",ISNUMBER($AA274)),1,0)</f>
        <v>0</v>
      </c>
      <c r="AE274" s="18" t="n">
        <f aca="false">IF($AD274=1,$H274,0)</f>
        <v>0</v>
      </c>
      <c r="AF274" s="18" t="n">
        <f aca="false">IF($AD274=1,$E274,0)</f>
        <v>0</v>
      </c>
      <c r="AG274" s="18" t="n">
        <f aca="false">IF($AD274=1,MIN(N($F274),$E274),0)</f>
        <v>0</v>
      </c>
      <c r="AH274" s="18" t="n">
        <f aca="false">IF($AD274=1,$I274,0)</f>
        <v>0</v>
      </c>
      <c r="AI274" s="18" t="n">
        <f aca="false">IF($AD274=1,$G274,1)</f>
        <v>1</v>
      </c>
      <c r="AJ274" s="18" t="n">
        <f aca="false">IF($AD274=1,$V274,1)</f>
        <v>1</v>
      </c>
      <c r="AK274" s="18" t="n">
        <f aca="false">IF($AD274=1,$Y274,1)</f>
        <v>1</v>
      </c>
    </row>
    <row r="275" customFormat="false" ht="15" hidden="false" customHeight="false" outlineLevel="0" collapsed="false">
      <c r="A275" s="10"/>
      <c r="B275" s="10"/>
      <c r="C275" s="12"/>
      <c r="D275" s="17"/>
      <c r="E275" s="13"/>
      <c r="F275" s="21"/>
      <c r="G275" s="12"/>
      <c r="H275" s="12"/>
      <c r="I275" s="12"/>
      <c r="J275" s="12"/>
      <c r="K275" s="12"/>
      <c r="L275" s="12"/>
      <c r="M275" s="15"/>
      <c r="N275" s="15"/>
      <c r="O275" s="12"/>
      <c r="P275" s="17"/>
      <c r="Q275" s="22" t="str">
        <f aca="false">IF(OR($G275="",Setup!$B$5=""),"",Setup!$B$5/$G275)</f>
        <v/>
      </c>
      <c r="R275" s="23" t="str">
        <f aca="false">IF(OR($E275="",$Q275=""),"",1-(1-$E275)^$Q275)</f>
        <v/>
      </c>
      <c r="S275" s="22" t="str">
        <f aca="false">IF(OR($R275="",$H275=""),"",$H275*$R275)</f>
        <v/>
      </c>
      <c r="T275" s="23" t="str">
        <f aca="false">IF(OR($E275="",$I275=""),"",MIN(1,MIN(N($F275),$E275)+($E275-MIN(N($F275),$E275))*(1-$I275)))</f>
        <v/>
      </c>
      <c r="U275" s="23" t="str">
        <f aca="false">IF(OR($T275="",$Q275=""),"",1-(1-$T275)^$Q275)</f>
        <v/>
      </c>
      <c r="V275" s="23" t="str">
        <f aca="false">IF($M275&lt;&gt;"",$M275,IF($G275="","",MAX(1,(Setup!$B$6/$G275)^Setup!$B$7)))</f>
        <v/>
      </c>
      <c r="W275" s="22" t="str">
        <f aca="false">IF(COUNT($J275:$L275)&lt;3,"",Setup!$B$10*(6-$J275)+Setup!$B$11*$K275+Setup!$B$12*$L275)</f>
        <v/>
      </c>
      <c r="X275" s="23" t="str">
        <f aca="false">IF($W275="","",IF(LEFT(Setup!$B$15,1)="B",EXP(Setup!$B$14*($W275-1)),1+Setup!$B$14*($W275-1)))</f>
        <v/>
      </c>
      <c r="Y275" s="23" t="str">
        <f aca="false">IF($N275&lt;&gt;"",$N275,$X275)</f>
        <v/>
      </c>
      <c r="Z275" s="22" t="str">
        <f aca="false">IF(OR($H275="",$U275="",$V275=""),"",$H275*$U275*$V275)</f>
        <v/>
      </c>
      <c r="AA275" s="22" t="str">
        <f aca="false">IF(OR($Z275="",$Y275=""),"",$Z275*$Y275)</f>
        <v/>
      </c>
      <c r="AB275" s="1" t="str">
        <f aca="false">IF($A275="","",IF(OR($E275="",$G275="",$H275="",$I275="",AND($N275="",COUNT($J275:$L275)&lt;3)),"Missing: "&amp;IF($E275="","P ","")&amp;IF($G275="","T ","")&amp;IF($H275="","I ","")&amp;IF($I275="","C ","")&amp;IF(AND($N275="",COUNT($J275:$L275)&lt;3),"C_ctrl/C_ext/C_irr",""),IF(N($F275)&gt;$E275,"P_floor &gt; P (floor capped at P)","OK")))</f>
        <v/>
      </c>
      <c r="AC275" s="1" t="str">
        <f aca="false">IF($AA275="","",$AA275+ROW()/1000000)</f>
        <v/>
      </c>
      <c r="AD275" s="18" t="n">
        <f aca="false">IF(AND($A275&lt;&gt;"",ISNUMBER($AA275)),1,0)</f>
        <v>0</v>
      </c>
      <c r="AE275" s="18" t="n">
        <f aca="false">IF($AD275=1,$H275,0)</f>
        <v>0</v>
      </c>
      <c r="AF275" s="18" t="n">
        <f aca="false">IF($AD275=1,$E275,0)</f>
        <v>0</v>
      </c>
      <c r="AG275" s="18" t="n">
        <f aca="false">IF($AD275=1,MIN(N($F275),$E275),0)</f>
        <v>0</v>
      </c>
      <c r="AH275" s="18" t="n">
        <f aca="false">IF($AD275=1,$I275,0)</f>
        <v>0</v>
      </c>
      <c r="AI275" s="18" t="n">
        <f aca="false">IF($AD275=1,$G275,1)</f>
        <v>1</v>
      </c>
      <c r="AJ275" s="18" t="n">
        <f aca="false">IF($AD275=1,$V275,1)</f>
        <v>1</v>
      </c>
      <c r="AK275" s="18" t="n">
        <f aca="false">IF($AD275=1,$Y275,1)</f>
        <v>1</v>
      </c>
    </row>
    <row r="276" customFormat="false" ht="15" hidden="false" customHeight="false" outlineLevel="0" collapsed="false">
      <c r="A276" s="10"/>
      <c r="B276" s="10"/>
      <c r="C276" s="12"/>
      <c r="D276" s="17"/>
      <c r="E276" s="13"/>
      <c r="F276" s="21"/>
      <c r="G276" s="12"/>
      <c r="H276" s="12"/>
      <c r="I276" s="12"/>
      <c r="J276" s="12"/>
      <c r="K276" s="12"/>
      <c r="L276" s="12"/>
      <c r="M276" s="15"/>
      <c r="N276" s="15"/>
      <c r="O276" s="12"/>
      <c r="P276" s="17"/>
      <c r="Q276" s="22" t="str">
        <f aca="false">IF(OR($G276="",Setup!$B$5=""),"",Setup!$B$5/$G276)</f>
        <v/>
      </c>
      <c r="R276" s="23" t="str">
        <f aca="false">IF(OR($E276="",$Q276=""),"",1-(1-$E276)^$Q276)</f>
        <v/>
      </c>
      <c r="S276" s="22" t="str">
        <f aca="false">IF(OR($R276="",$H276=""),"",$H276*$R276)</f>
        <v/>
      </c>
      <c r="T276" s="23" t="str">
        <f aca="false">IF(OR($E276="",$I276=""),"",MIN(1,MIN(N($F276),$E276)+($E276-MIN(N($F276),$E276))*(1-$I276)))</f>
        <v/>
      </c>
      <c r="U276" s="23" t="str">
        <f aca="false">IF(OR($T276="",$Q276=""),"",1-(1-$T276)^$Q276)</f>
        <v/>
      </c>
      <c r="V276" s="23" t="str">
        <f aca="false">IF($M276&lt;&gt;"",$M276,IF($G276="","",MAX(1,(Setup!$B$6/$G276)^Setup!$B$7)))</f>
        <v/>
      </c>
      <c r="W276" s="22" t="str">
        <f aca="false">IF(COUNT($J276:$L276)&lt;3,"",Setup!$B$10*(6-$J276)+Setup!$B$11*$K276+Setup!$B$12*$L276)</f>
        <v/>
      </c>
      <c r="X276" s="23" t="str">
        <f aca="false">IF($W276="","",IF(LEFT(Setup!$B$15,1)="B",EXP(Setup!$B$14*($W276-1)),1+Setup!$B$14*($W276-1)))</f>
        <v/>
      </c>
      <c r="Y276" s="23" t="str">
        <f aca="false">IF($N276&lt;&gt;"",$N276,$X276)</f>
        <v/>
      </c>
      <c r="Z276" s="22" t="str">
        <f aca="false">IF(OR($H276="",$U276="",$V276=""),"",$H276*$U276*$V276)</f>
        <v/>
      </c>
      <c r="AA276" s="22" t="str">
        <f aca="false">IF(OR($Z276="",$Y276=""),"",$Z276*$Y276)</f>
        <v/>
      </c>
      <c r="AB276" s="1" t="str">
        <f aca="false">IF($A276="","",IF(OR($E276="",$G276="",$H276="",$I276="",AND($N276="",COUNT($J276:$L276)&lt;3)),"Missing: "&amp;IF($E276="","P ","")&amp;IF($G276="","T ","")&amp;IF($H276="","I ","")&amp;IF($I276="","C ","")&amp;IF(AND($N276="",COUNT($J276:$L276)&lt;3),"C_ctrl/C_ext/C_irr",""),IF(N($F276)&gt;$E276,"P_floor &gt; P (floor capped at P)","OK")))</f>
        <v/>
      </c>
      <c r="AC276" s="1" t="str">
        <f aca="false">IF($AA276="","",$AA276+ROW()/1000000)</f>
        <v/>
      </c>
      <c r="AD276" s="18" t="n">
        <f aca="false">IF(AND($A276&lt;&gt;"",ISNUMBER($AA276)),1,0)</f>
        <v>0</v>
      </c>
      <c r="AE276" s="18" t="n">
        <f aca="false">IF($AD276=1,$H276,0)</f>
        <v>0</v>
      </c>
      <c r="AF276" s="18" t="n">
        <f aca="false">IF($AD276=1,$E276,0)</f>
        <v>0</v>
      </c>
      <c r="AG276" s="18" t="n">
        <f aca="false">IF($AD276=1,MIN(N($F276),$E276),0)</f>
        <v>0</v>
      </c>
      <c r="AH276" s="18" t="n">
        <f aca="false">IF($AD276=1,$I276,0)</f>
        <v>0</v>
      </c>
      <c r="AI276" s="18" t="n">
        <f aca="false">IF($AD276=1,$G276,1)</f>
        <v>1</v>
      </c>
      <c r="AJ276" s="18" t="n">
        <f aca="false">IF($AD276=1,$V276,1)</f>
        <v>1</v>
      </c>
      <c r="AK276" s="18" t="n">
        <f aca="false">IF($AD276=1,$Y276,1)</f>
        <v>1</v>
      </c>
    </row>
    <row r="277" customFormat="false" ht="15" hidden="false" customHeight="false" outlineLevel="0" collapsed="false">
      <c r="A277" s="10"/>
      <c r="B277" s="10"/>
      <c r="C277" s="12"/>
      <c r="D277" s="17"/>
      <c r="E277" s="13"/>
      <c r="F277" s="21"/>
      <c r="G277" s="12"/>
      <c r="H277" s="12"/>
      <c r="I277" s="12"/>
      <c r="J277" s="12"/>
      <c r="K277" s="12"/>
      <c r="L277" s="12"/>
      <c r="M277" s="15"/>
      <c r="N277" s="15"/>
      <c r="O277" s="12"/>
      <c r="P277" s="17"/>
      <c r="Q277" s="22" t="str">
        <f aca="false">IF(OR($G277="",Setup!$B$5=""),"",Setup!$B$5/$G277)</f>
        <v/>
      </c>
      <c r="R277" s="23" t="str">
        <f aca="false">IF(OR($E277="",$Q277=""),"",1-(1-$E277)^$Q277)</f>
        <v/>
      </c>
      <c r="S277" s="22" t="str">
        <f aca="false">IF(OR($R277="",$H277=""),"",$H277*$R277)</f>
        <v/>
      </c>
      <c r="T277" s="23" t="str">
        <f aca="false">IF(OR($E277="",$I277=""),"",MIN(1,MIN(N($F277),$E277)+($E277-MIN(N($F277),$E277))*(1-$I277)))</f>
        <v/>
      </c>
      <c r="U277" s="23" t="str">
        <f aca="false">IF(OR($T277="",$Q277=""),"",1-(1-$T277)^$Q277)</f>
        <v/>
      </c>
      <c r="V277" s="23" t="str">
        <f aca="false">IF($M277&lt;&gt;"",$M277,IF($G277="","",MAX(1,(Setup!$B$6/$G277)^Setup!$B$7)))</f>
        <v/>
      </c>
      <c r="W277" s="22" t="str">
        <f aca="false">IF(COUNT($J277:$L277)&lt;3,"",Setup!$B$10*(6-$J277)+Setup!$B$11*$K277+Setup!$B$12*$L277)</f>
        <v/>
      </c>
      <c r="X277" s="23" t="str">
        <f aca="false">IF($W277="","",IF(LEFT(Setup!$B$15,1)="B",EXP(Setup!$B$14*($W277-1)),1+Setup!$B$14*($W277-1)))</f>
        <v/>
      </c>
      <c r="Y277" s="23" t="str">
        <f aca="false">IF($N277&lt;&gt;"",$N277,$X277)</f>
        <v/>
      </c>
      <c r="Z277" s="22" t="str">
        <f aca="false">IF(OR($H277="",$U277="",$V277=""),"",$H277*$U277*$V277)</f>
        <v/>
      </c>
      <c r="AA277" s="22" t="str">
        <f aca="false">IF(OR($Z277="",$Y277=""),"",$Z277*$Y277)</f>
        <v/>
      </c>
      <c r="AB277" s="1" t="str">
        <f aca="false">IF($A277="","",IF(OR($E277="",$G277="",$H277="",$I277="",AND($N277="",COUNT($J277:$L277)&lt;3)),"Missing: "&amp;IF($E277="","P ","")&amp;IF($G277="","T ","")&amp;IF($H277="","I ","")&amp;IF($I277="","C ","")&amp;IF(AND($N277="",COUNT($J277:$L277)&lt;3),"C_ctrl/C_ext/C_irr",""),IF(N($F277)&gt;$E277,"P_floor &gt; P (floor capped at P)","OK")))</f>
        <v/>
      </c>
      <c r="AC277" s="1" t="str">
        <f aca="false">IF($AA277="","",$AA277+ROW()/1000000)</f>
        <v/>
      </c>
      <c r="AD277" s="18" t="n">
        <f aca="false">IF(AND($A277&lt;&gt;"",ISNUMBER($AA277)),1,0)</f>
        <v>0</v>
      </c>
      <c r="AE277" s="18" t="n">
        <f aca="false">IF($AD277=1,$H277,0)</f>
        <v>0</v>
      </c>
      <c r="AF277" s="18" t="n">
        <f aca="false">IF($AD277=1,$E277,0)</f>
        <v>0</v>
      </c>
      <c r="AG277" s="18" t="n">
        <f aca="false">IF($AD277=1,MIN(N($F277),$E277),0)</f>
        <v>0</v>
      </c>
      <c r="AH277" s="18" t="n">
        <f aca="false">IF($AD277=1,$I277,0)</f>
        <v>0</v>
      </c>
      <c r="AI277" s="18" t="n">
        <f aca="false">IF($AD277=1,$G277,1)</f>
        <v>1</v>
      </c>
      <c r="AJ277" s="18" t="n">
        <f aca="false">IF($AD277=1,$V277,1)</f>
        <v>1</v>
      </c>
      <c r="AK277" s="18" t="n">
        <f aca="false">IF($AD277=1,$Y277,1)</f>
        <v>1</v>
      </c>
    </row>
    <row r="278" customFormat="false" ht="15" hidden="false" customHeight="false" outlineLevel="0" collapsed="false">
      <c r="A278" s="10"/>
      <c r="B278" s="10"/>
      <c r="C278" s="12"/>
      <c r="D278" s="17"/>
      <c r="E278" s="13"/>
      <c r="F278" s="21"/>
      <c r="G278" s="12"/>
      <c r="H278" s="12"/>
      <c r="I278" s="12"/>
      <c r="J278" s="12"/>
      <c r="K278" s="12"/>
      <c r="L278" s="12"/>
      <c r="M278" s="15"/>
      <c r="N278" s="15"/>
      <c r="O278" s="12"/>
      <c r="P278" s="17"/>
      <c r="Q278" s="22" t="str">
        <f aca="false">IF(OR($G278="",Setup!$B$5=""),"",Setup!$B$5/$G278)</f>
        <v/>
      </c>
      <c r="R278" s="23" t="str">
        <f aca="false">IF(OR($E278="",$Q278=""),"",1-(1-$E278)^$Q278)</f>
        <v/>
      </c>
      <c r="S278" s="22" t="str">
        <f aca="false">IF(OR($R278="",$H278=""),"",$H278*$R278)</f>
        <v/>
      </c>
      <c r="T278" s="23" t="str">
        <f aca="false">IF(OR($E278="",$I278=""),"",MIN(1,MIN(N($F278),$E278)+($E278-MIN(N($F278),$E278))*(1-$I278)))</f>
        <v/>
      </c>
      <c r="U278" s="23" t="str">
        <f aca="false">IF(OR($T278="",$Q278=""),"",1-(1-$T278)^$Q278)</f>
        <v/>
      </c>
      <c r="V278" s="23" t="str">
        <f aca="false">IF($M278&lt;&gt;"",$M278,IF($G278="","",MAX(1,(Setup!$B$6/$G278)^Setup!$B$7)))</f>
        <v/>
      </c>
      <c r="W278" s="22" t="str">
        <f aca="false">IF(COUNT($J278:$L278)&lt;3,"",Setup!$B$10*(6-$J278)+Setup!$B$11*$K278+Setup!$B$12*$L278)</f>
        <v/>
      </c>
      <c r="X278" s="23" t="str">
        <f aca="false">IF($W278="","",IF(LEFT(Setup!$B$15,1)="B",EXP(Setup!$B$14*($W278-1)),1+Setup!$B$14*($W278-1)))</f>
        <v/>
      </c>
      <c r="Y278" s="23" t="str">
        <f aca="false">IF($N278&lt;&gt;"",$N278,$X278)</f>
        <v/>
      </c>
      <c r="Z278" s="22" t="str">
        <f aca="false">IF(OR($H278="",$U278="",$V278=""),"",$H278*$U278*$V278)</f>
        <v/>
      </c>
      <c r="AA278" s="22" t="str">
        <f aca="false">IF(OR($Z278="",$Y278=""),"",$Z278*$Y278)</f>
        <v/>
      </c>
      <c r="AB278" s="1" t="str">
        <f aca="false">IF($A278="","",IF(OR($E278="",$G278="",$H278="",$I278="",AND($N278="",COUNT($J278:$L278)&lt;3)),"Missing: "&amp;IF($E278="","P ","")&amp;IF($G278="","T ","")&amp;IF($H278="","I ","")&amp;IF($I278="","C ","")&amp;IF(AND($N278="",COUNT($J278:$L278)&lt;3),"C_ctrl/C_ext/C_irr",""),IF(N($F278)&gt;$E278,"P_floor &gt; P (floor capped at P)","OK")))</f>
        <v/>
      </c>
      <c r="AC278" s="1" t="str">
        <f aca="false">IF($AA278="","",$AA278+ROW()/1000000)</f>
        <v/>
      </c>
      <c r="AD278" s="18" t="n">
        <f aca="false">IF(AND($A278&lt;&gt;"",ISNUMBER($AA278)),1,0)</f>
        <v>0</v>
      </c>
      <c r="AE278" s="18" t="n">
        <f aca="false">IF($AD278=1,$H278,0)</f>
        <v>0</v>
      </c>
      <c r="AF278" s="18" t="n">
        <f aca="false">IF($AD278=1,$E278,0)</f>
        <v>0</v>
      </c>
      <c r="AG278" s="18" t="n">
        <f aca="false">IF($AD278=1,MIN(N($F278),$E278),0)</f>
        <v>0</v>
      </c>
      <c r="AH278" s="18" t="n">
        <f aca="false">IF($AD278=1,$I278,0)</f>
        <v>0</v>
      </c>
      <c r="AI278" s="18" t="n">
        <f aca="false">IF($AD278=1,$G278,1)</f>
        <v>1</v>
      </c>
      <c r="AJ278" s="18" t="n">
        <f aca="false">IF($AD278=1,$V278,1)</f>
        <v>1</v>
      </c>
      <c r="AK278" s="18" t="n">
        <f aca="false">IF($AD278=1,$Y278,1)</f>
        <v>1</v>
      </c>
    </row>
    <row r="279" customFormat="false" ht="15" hidden="false" customHeight="false" outlineLevel="0" collapsed="false">
      <c r="A279" s="10"/>
      <c r="B279" s="10"/>
      <c r="C279" s="12"/>
      <c r="D279" s="17"/>
      <c r="E279" s="13"/>
      <c r="F279" s="21"/>
      <c r="G279" s="12"/>
      <c r="H279" s="12"/>
      <c r="I279" s="12"/>
      <c r="J279" s="12"/>
      <c r="K279" s="12"/>
      <c r="L279" s="12"/>
      <c r="M279" s="15"/>
      <c r="N279" s="15"/>
      <c r="O279" s="12"/>
      <c r="P279" s="17"/>
      <c r="Q279" s="22" t="str">
        <f aca="false">IF(OR($G279="",Setup!$B$5=""),"",Setup!$B$5/$G279)</f>
        <v/>
      </c>
      <c r="R279" s="23" t="str">
        <f aca="false">IF(OR($E279="",$Q279=""),"",1-(1-$E279)^$Q279)</f>
        <v/>
      </c>
      <c r="S279" s="22" t="str">
        <f aca="false">IF(OR($R279="",$H279=""),"",$H279*$R279)</f>
        <v/>
      </c>
      <c r="T279" s="23" t="str">
        <f aca="false">IF(OR($E279="",$I279=""),"",MIN(1,MIN(N($F279),$E279)+($E279-MIN(N($F279),$E279))*(1-$I279)))</f>
        <v/>
      </c>
      <c r="U279" s="23" t="str">
        <f aca="false">IF(OR($T279="",$Q279=""),"",1-(1-$T279)^$Q279)</f>
        <v/>
      </c>
      <c r="V279" s="23" t="str">
        <f aca="false">IF($M279&lt;&gt;"",$M279,IF($G279="","",MAX(1,(Setup!$B$6/$G279)^Setup!$B$7)))</f>
        <v/>
      </c>
      <c r="W279" s="22" t="str">
        <f aca="false">IF(COUNT($J279:$L279)&lt;3,"",Setup!$B$10*(6-$J279)+Setup!$B$11*$K279+Setup!$B$12*$L279)</f>
        <v/>
      </c>
      <c r="X279" s="23" t="str">
        <f aca="false">IF($W279="","",IF(LEFT(Setup!$B$15,1)="B",EXP(Setup!$B$14*($W279-1)),1+Setup!$B$14*($W279-1)))</f>
        <v/>
      </c>
      <c r="Y279" s="23" t="str">
        <f aca="false">IF($N279&lt;&gt;"",$N279,$X279)</f>
        <v/>
      </c>
      <c r="Z279" s="22" t="str">
        <f aca="false">IF(OR($H279="",$U279="",$V279=""),"",$H279*$U279*$V279)</f>
        <v/>
      </c>
      <c r="AA279" s="22" t="str">
        <f aca="false">IF(OR($Z279="",$Y279=""),"",$Z279*$Y279)</f>
        <v/>
      </c>
      <c r="AB279" s="1" t="str">
        <f aca="false">IF($A279="","",IF(OR($E279="",$G279="",$H279="",$I279="",AND($N279="",COUNT($J279:$L279)&lt;3)),"Missing: "&amp;IF($E279="","P ","")&amp;IF($G279="","T ","")&amp;IF($H279="","I ","")&amp;IF($I279="","C ","")&amp;IF(AND($N279="",COUNT($J279:$L279)&lt;3),"C_ctrl/C_ext/C_irr",""),IF(N($F279)&gt;$E279,"P_floor &gt; P (floor capped at P)","OK")))</f>
        <v/>
      </c>
      <c r="AC279" s="1" t="str">
        <f aca="false">IF($AA279="","",$AA279+ROW()/1000000)</f>
        <v/>
      </c>
      <c r="AD279" s="18" t="n">
        <f aca="false">IF(AND($A279&lt;&gt;"",ISNUMBER($AA279)),1,0)</f>
        <v>0</v>
      </c>
      <c r="AE279" s="18" t="n">
        <f aca="false">IF($AD279=1,$H279,0)</f>
        <v>0</v>
      </c>
      <c r="AF279" s="18" t="n">
        <f aca="false">IF($AD279=1,$E279,0)</f>
        <v>0</v>
      </c>
      <c r="AG279" s="18" t="n">
        <f aca="false">IF($AD279=1,MIN(N($F279),$E279),0)</f>
        <v>0</v>
      </c>
      <c r="AH279" s="18" t="n">
        <f aca="false">IF($AD279=1,$I279,0)</f>
        <v>0</v>
      </c>
      <c r="AI279" s="18" t="n">
        <f aca="false">IF($AD279=1,$G279,1)</f>
        <v>1</v>
      </c>
      <c r="AJ279" s="18" t="n">
        <f aca="false">IF($AD279=1,$V279,1)</f>
        <v>1</v>
      </c>
      <c r="AK279" s="18" t="n">
        <f aca="false">IF($AD279=1,$Y279,1)</f>
        <v>1</v>
      </c>
    </row>
    <row r="280" customFormat="false" ht="15" hidden="false" customHeight="false" outlineLevel="0" collapsed="false">
      <c r="A280" s="10"/>
      <c r="B280" s="10"/>
      <c r="C280" s="12"/>
      <c r="D280" s="17"/>
      <c r="E280" s="13"/>
      <c r="F280" s="21"/>
      <c r="G280" s="12"/>
      <c r="H280" s="12"/>
      <c r="I280" s="12"/>
      <c r="J280" s="12"/>
      <c r="K280" s="12"/>
      <c r="L280" s="12"/>
      <c r="M280" s="15"/>
      <c r="N280" s="15"/>
      <c r="O280" s="12"/>
      <c r="P280" s="17"/>
      <c r="Q280" s="22" t="str">
        <f aca="false">IF(OR($G280="",Setup!$B$5=""),"",Setup!$B$5/$G280)</f>
        <v/>
      </c>
      <c r="R280" s="23" t="str">
        <f aca="false">IF(OR($E280="",$Q280=""),"",1-(1-$E280)^$Q280)</f>
        <v/>
      </c>
      <c r="S280" s="22" t="str">
        <f aca="false">IF(OR($R280="",$H280=""),"",$H280*$R280)</f>
        <v/>
      </c>
      <c r="T280" s="23" t="str">
        <f aca="false">IF(OR($E280="",$I280=""),"",MIN(1,MIN(N($F280),$E280)+($E280-MIN(N($F280),$E280))*(1-$I280)))</f>
        <v/>
      </c>
      <c r="U280" s="23" t="str">
        <f aca="false">IF(OR($T280="",$Q280=""),"",1-(1-$T280)^$Q280)</f>
        <v/>
      </c>
      <c r="V280" s="23" t="str">
        <f aca="false">IF($M280&lt;&gt;"",$M280,IF($G280="","",MAX(1,(Setup!$B$6/$G280)^Setup!$B$7)))</f>
        <v/>
      </c>
      <c r="W280" s="22" t="str">
        <f aca="false">IF(COUNT($J280:$L280)&lt;3,"",Setup!$B$10*(6-$J280)+Setup!$B$11*$K280+Setup!$B$12*$L280)</f>
        <v/>
      </c>
      <c r="X280" s="23" t="str">
        <f aca="false">IF($W280="","",IF(LEFT(Setup!$B$15,1)="B",EXP(Setup!$B$14*($W280-1)),1+Setup!$B$14*($W280-1)))</f>
        <v/>
      </c>
      <c r="Y280" s="23" t="str">
        <f aca="false">IF($N280&lt;&gt;"",$N280,$X280)</f>
        <v/>
      </c>
      <c r="Z280" s="22" t="str">
        <f aca="false">IF(OR($H280="",$U280="",$V280=""),"",$H280*$U280*$V280)</f>
        <v/>
      </c>
      <c r="AA280" s="22" t="str">
        <f aca="false">IF(OR($Z280="",$Y280=""),"",$Z280*$Y280)</f>
        <v/>
      </c>
      <c r="AB280" s="1" t="str">
        <f aca="false">IF($A280="","",IF(OR($E280="",$G280="",$H280="",$I280="",AND($N280="",COUNT($J280:$L280)&lt;3)),"Missing: "&amp;IF($E280="","P ","")&amp;IF($G280="","T ","")&amp;IF($H280="","I ","")&amp;IF($I280="","C ","")&amp;IF(AND($N280="",COUNT($J280:$L280)&lt;3),"C_ctrl/C_ext/C_irr",""),IF(N($F280)&gt;$E280,"P_floor &gt; P (floor capped at P)","OK")))</f>
        <v/>
      </c>
      <c r="AC280" s="1" t="str">
        <f aca="false">IF($AA280="","",$AA280+ROW()/1000000)</f>
        <v/>
      </c>
      <c r="AD280" s="18" t="n">
        <f aca="false">IF(AND($A280&lt;&gt;"",ISNUMBER($AA280)),1,0)</f>
        <v>0</v>
      </c>
      <c r="AE280" s="18" t="n">
        <f aca="false">IF($AD280=1,$H280,0)</f>
        <v>0</v>
      </c>
      <c r="AF280" s="18" t="n">
        <f aca="false">IF($AD280=1,$E280,0)</f>
        <v>0</v>
      </c>
      <c r="AG280" s="18" t="n">
        <f aca="false">IF($AD280=1,MIN(N($F280),$E280),0)</f>
        <v>0</v>
      </c>
      <c r="AH280" s="18" t="n">
        <f aca="false">IF($AD280=1,$I280,0)</f>
        <v>0</v>
      </c>
      <c r="AI280" s="18" t="n">
        <f aca="false">IF($AD280=1,$G280,1)</f>
        <v>1</v>
      </c>
      <c r="AJ280" s="18" t="n">
        <f aca="false">IF($AD280=1,$V280,1)</f>
        <v>1</v>
      </c>
      <c r="AK280" s="18" t="n">
        <f aca="false">IF($AD280=1,$Y280,1)</f>
        <v>1</v>
      </c>
    </row>
    <row r="281" customFormat="false" ht="15" hidden="false" customHeight="false" outlineLevel="0" collapsed="false">
      <c r="A281" s="10"/>
      <c r="B281" s="10"/>
      <c r="C281" s="12"/>
      <c r="D281" s="17"/>
      <c r="E281" s="13"/>
      <c r="F281" s="21"/>
      <c r="G281" s="12"/>
      <c r="H281" s="12"/>
      <c r="I281" s="12"/>
      <c r="J281" s="12"/>
      <c r="K281" s="12"/>
      <c r="L281" s="12"/>
      <c r="M281" s="15"/>
      <c r="N281" s="15"/>
      <c r="O281" s="12"/>
      <c r="P281" s="17"/>
      <c r="Q281" s="22" t="str">
        <f aca="false">IF(OR($G281="",Setup!$B$5=""),"",Setup!$B$5/$G281)</f>
        <v/>
      </c>
      <c r="R281" s="23" t="str">
        <f aca="false">IF(OR($E281="",$Q281=""),"",1-(1-$E281)^$Q281)</f>
        <v/>
      </c>
      <c r="S281" s="22" t="str">
        <f aca="false">IF(OR($R281="",$H281=""),"",$H281*$R281)</f>
        <v/>
      </c>
      <c r="T281" s="23" t="str">
        <f aca="false">IF(OR($E281="",$I281=""),"",MIN(1,MIN(N($F281),$E281)+($E281-MIN(N($F281),$E281))*(1-$I281)))</f>
        <v/>
      </c>
      <c r="U281" s="23" t="str">
        <f aca="false">IF(OR($T281="",$Q281=""),"",1-(1-$T281)^$Q281)</f>
        <v/>
      </c>
      <c r="V281" s="23" t="str">
        <f aca="false">IF($M281&lt;&gt;"",$M281,IF($G281="","",MAX(1,(Setup!$B$6/$G281)^Setup!$B$7)))</f>
        <v/>
      </c>
      <c r="W281" s="22" t="str">
        <f aca="false">IF(COUNT($J281:$L281)&lt;3,"",Setup!$B$10*(6-$J281)+Setup!$B$11*$K281+Setup!$B$12*$L281)</f>
        <v/>
      </c>
      <c r="X281" s="23" t="str">
        <f aca="false">IF($W281="","",IF(LEFT(Setup!$B$15,1)="B",EXP(Setup!$B$14*($W281-1)),1+Setup!$B$14*($W281-1)))</f>
        <v/>
      </c>
      <c r="Y281" s="23" t="str">
        <f aca="false">IF($N281&lt;&gt;"",$N281,$X281)</f>
        <v/>
      </c>
      <c r="Z281" s="22" t="str">
        <f aca="false">IF(OR($H281="",$U281="",$V281=""),"",$H281*$U281*$V281)</f>
        <v/>
      </c>
      <c r="AA281" s="22" t="str">
        <f aca="false">IF(OR($Z281="",$Y281=""),"",$Z281*$Y281)</f>
        <v/>
      </c>
      <c r="AB281" s="1" t="str">
        <f aca="false">IF($A281="","",IF(OR($E281="",$G281="",$H281="",$I281="",AND($N281="",COUNT($J281:$L281)&lt;3)),"Missing: "&amp;IF($E281="","P ","")&amp;IF($G281="","T ","")&amp;IF($H281="","I ","")&amp;IF($I281="","C ","")&amp;IF(AND($N281="",COUNT($J281:$L281)&lt;3),"C_ctrl/C_ext/C_irr",""),IF(N($F281)&gt;$E281,"P_floor &gt; P (floor capped at P)","OK")))</f>
        <v/>
      </c>
      <c r="AC281" s="1" t="str">
        <f aca="false">IF($AA281="","",$AA281+ROW()/1000000)</f>
        <v/>
      </c>
      <c r="AD281" s="18" t="n">
        <f aca="false">IF(AND($A281&lt;&gt;"",ISNUMBER($AA281)),1,0)</f>
        <v>0</v>
      </c>
      <c r="AE281" s="18" t="n">
        <f aca="false">IF($AD281=1,$H281,0)</f>
        <v>0</v>
      </c>
      <c r="AF281" s="18" t="n">
        <f aca="false">IF($AD281=1,$E281,0)</f>
        <v>0</v>
      </c>
      <c r="AG281" s="18" t="n">
        <f aca="false">IF($AD281=1,MIN(N($F281),$E281),0)</f>
        <v>0</v>
      </c>
      <c r="AH281" s="18" t="n">
        <f aca="false">IF($AD281=1,$I281,0)</f>
        <v>0</v>
      </c>
      <c r="AI281" s="18" t="n">
        <f aca="false">IF($AD281=1,$G281,1)</f>
        <v>1</v>
      </c>
      <c r="AJ281" s="18" t="n">
        <f aca="false">IF($AD281=1,$V281,1)</f>
        <v>1</v>
      </c>
      <c r="AK281" s="18" t="n">
        <f aca="false">IF($AD281=1,$Y281,1)</f>
        <v>1</v>
      </c>
    </row>
    <row r="282" customFormat="false" ht="15" hidden="false" customHeight="false" outlineLevel="0" collapsed="false">
      <c r="A282" s="10"/>
      <c r="B282" s="10"/>
      <c r="C282" s="12"/>
      <c r="D282" s="17"/>
      <c r="E282" s="13"/>
      <c r="F282" s="21"/>
      <c r="G282" s="12"/>
      <c r="H282" s="12"/>
      <c r="I282" s="12"/>
      <c r="J282" s="12"/>
      <c r="K282" s="12"/>
      <c r="L282" s="12"/>
      <c r="M282" s="15"/>
      <c r="N282" s="15"/>
      <c r="O282" s="12"/>
      <c r="P282" s="17"/>
      <c r="Q282" s="22" t="str">
        <f aca="false">IF(OR($G282="",Setup!$B$5=""),"",Setup!$B$5/$G282)</f>
        <v/>
      </c>
      <c r="R282" s="23" t="str">
        <f aca="false">IF(OR($E282="",$Q282=""),"",1-(1-$E282)^$Q282)</f>
        <v/>
      </c>
      <c r="S282" s="22" t="str">
        <f aca="false">IF(OR($R282="",$H282=""),"",$H282*$R282)</f>
        <v/>
      </c>
      <c r="T282" s="23" t="str">
        <f aca="false">IF(OR($E282="",$I282=""),"",MIN(1,MIN(N($F282),$E282)+($E282-MIN(N($F282),$E282))*(1-$I282)))</f>
        <v/>
      </c>
      <c r="U282" s="23" t="str">
        <f aca="false">IF(OR($T282="",$Q282=""),"",1-(1-$T282)^$Q282)</f>
        <v/>
      </c>
      <c r="V282" s="23" t="str">
        <f aca="false">IF($M282&lt;&gt;"",$M282,IF($G282="","",MAX(1,(Setup!$B$6/$G282)^Setup!$B$7)))</f>
        <v/>
      </c>
      <c r="W282" s="22" t="str">
        <f aca="false">IF(COUNT($J282:$L282)&lt;3,"",Setup!$B$10*(6-$J282)+Setup!$B$11*$K282+Setup!$B$12*$L282)</f>
        <v/>
      </c>
      <c r="X282" s="23" t="str">
        <f aca="false">IF($W282="","",IF(LEFT(Setup!$B$15,1)="B",EXP(Setup!$B$14*($W282-1)),1+Setup!$B$14*($W282-1)))</f>
        <v/>
      </c>
      <c r="Y282" s="23" t="str">
        <f aca="false">IF($N282&lt;&gt;"",$N282,$X282)</f>
        <v/>
      </c>
      <c r="Z282" s="22" t="str">
        <f aca="false">IF(OR($H282="",$U282="",$V282=""),"",$H282*$U282*$V282)</f>
        <v/>
      </c>
      <c r="AA282" s="22" t="str">
        <f aca="false">IF(OR($Z282="",$Y282=""),"",$Z282*$Y282)</f>
        <v/>
      </c>
      <c r="AB282" s="1" t="str">
        <f aca="false">IF($A282="","",IF(OR($E282="",$G282="",$H282="",$I282="",AND($N282="",COUNT($J282:$L282)&lt;3)),"Missing: "&amp;IF($E282="","P ","")&amp;IF($G282="","T ","")&amp;IF($H282="","I ","")&amp;IF($I282="","C ","")&amp;IF(AND($N282="",COUNT($J282:$L282)&lt;3),"C_ctrl/C_ext/C_irr",""),IF(N($F282)&gt;$E282,"P_floor &gt; P (floor capped at P)","OK")))</f>
        <v/>
      </c>
      <c r="AC282" s="1" t="str">
        <f aca="false">IF($AA282="","",$AA282+ROW()/1000000)</f>
        <v/>
      </c>
      <c r="AD282" s="18" t="n">
        <f aca="false">IF(AND($A282&lt;&gt;"",ISNUMBER($AA282)),1,0)</f>
        <v>0</v>
      </c>
      <c r="AE282" s="18" t="n">
        <f aca="false">IF($AD282=1,$H282,0)</f>
        <v>0</v>
      </c>
      <c r="AF282" s="18" t="n">
        <f aca="false">IF($AD282=1,$E282,0)</f>
        <v>0</v>
      </c>
      <c r="AG282" s="18" t="n">
        <f aca="false">IF($AD282=1,MIN(N($F282),$E282),0)</f>
        <v>0</v>
      </c>
      <c r="AH282" s="18" t="n">
        <f aca="false">IF($AD282=1,$I282,0)</f>
        <v>0</v>
      </c>
      <c r="AI282" s="18" t="n">
        <f aca="false">IF($AD282=1,$G282,1)</f>
        <v>1</v>
      </c>
      <c r="AJ282" s="18" t="n">
        <f aca="false">IF($AD282=1,$V282,1)</f>
        <v>1</v>
      </c>
      <c r="AK282" s="18" t="n">
        <f aca="false">IF($AD282=1,$Y282,1)</f>
        <v>1</v>
      </c>
    </row>
    <row r="283" customFormat="false" ht="15" hidden="false" customHeight="false" outlineLevel="0" collapsed="false">
      <c r="A283" s="10"/>
      <c r="B283" s="10"/>
      <c r="C283" s="12"/>
      <c r="D283" s="17"/>
      <c r="E283" s="13"/>
      <c r="F283" s="21"/>
      <c r="G283" s="12"/>
      <c r="H283" s="12"/>
      <c r="I283" s="12"/>
      <c r="J283" s="12"/>
      <c r="K283" s="12"/>
      <c r="L283" s="12"/>
      <c r="M283" s="15"/>
      <c r="N283" s="15"/>
      <c r="O283" s="12"/>
      <c r="P283" s="17"/>
      <c r="Q283" s="22" t="str">
        <f aca="false">IF(OR($G283="",Setup!$B$5=""),"",Setup!$B$5/$G283)</f>
        <v/>
      </c>
      <c r="R283" s="23" t="str">
        <f aca="false">IF(OR($E283="",$Q283=""),"",1-(1-$E283)^$Q283)</f>
        <v/>
      </c>
      <c r="S283" s="22" t="str">
        <f aca="false">IF(OR($R283="",$H283=""),"",$H283*$R283)</f>
        <v/>
      </c>
      <c r="T283" s="23" t="str">
        <f aca="false">IF(OR($E283="",$I283=""),"",MIN(1,MIN(N($F283),$E283)+($E283-MIN(N($F283),$E283))*(1-$I283)))</f>
        <v/>
      </c>
      <c r="U283" s="23" t="str">
        <f aca="false">IF(OR($T283="",$Q283=""),"",1-(1-$T283)^$Q283)</f>
        <v/>
      </c>
      <c r="V283" s="23" t="str">
        <f aca="false">IF($M283&lt;&gt;"",$M283,IF($G283="","",MAX(1,(Setup!$B$6/$G283)^Setup!$B$7)))</f>
        <v/>
      </c>
      <c r="W283" s="22" t="str">
        <f aca="false">IF(COUNT($J283:$L283)&lt;3,"",Setup!$B$10*(6-$J283)+Setup!$B$11*$K283+Setup!$B$12*$L283)</f>
        <v/>
      </c>
      <c r="X283" s="23" t="str">
        <f aca="false">IF($W283="","",IF(LEFT(Setup!$B$15,1)="B",EXP(Setup!$B$14*($W283-1)),1+Setup!$B$14*($W283-1)))</f>
        <v/>
      </c>
      <c r="Y283" s="23" t="str">
        <f aca="false">IF($N283&lt;&gt;"",$N283,$X283)</f>
        <v/>
      </c>
      <c r="Z283" s="22" t="str">
        <f aca="false">IF(OR($H283="",$U283="",$V283=""),"",$H283*$U283*$V283)</f>
        <v/>
      </c>
      <c r="AA283" s="22" t="str">
        <f aca="false">IF(OR($Z283="",$Y283=""),"",$Z283*$Y283)</f>
        <v/>
      </c>
      <c r="AB283" s="1" t="str">
        <f aca="false">IF($A283="","",IF(OR($E283="",$G283="",$H283="",$I283="",AND($N283="",COUNT($J283:$L283)&lt;3)),"Missing: "&amp;IF($E283="","P ","")&amp;IF($G283="","T ","")&amp;IF($H283="","I ","")&amp;IF($I283="","C ","")&amp;IF(AND($N283="",COUNT($J283:$L283)&lt;3),"C_ctrl/C_ext/C_irr",""),IF(N($F283)&gt;$E283,"P_floor &gt; P (floor capped at P)","OK")))</f>
        <v/>
      </c>
      <c r="AC283" s="1" t="str">
        <f aca="false">IF($AA283="","",$AA283+ROW()/1000000)</f>
        <v/>
      </c>
      <c r="AD283" s="18" t="n">
        <f aca="false">IF(AND($A283&lt;&gt;"",ISNUMBER($AA283)),1,0)</f>
        <v>0</v>
      </c>
      <c r="AE283" s="18" t="n">
        <f aca="false">IF($AD283=1,$H283,0)</f>
        <v>0</v>
      </c>
      <c r="AF283" s="18" t="n">
        <f aca="false">IF($AD283=1,$E283,0)</f>
        <v>0</v>
      </c>
      <c r="AG283" s="18" t="n">
        <f aca="false">IF($AD283=1,MIN(N($F283),$E283),0)</f>
        <v>0</v>
      </c>
      <c r="AH283" s="18" t="n">
        <f aca="false">IF($AD283=1,$I283,0)</f>
        <v>0</v>
      </c>
      <c r="AI283" s="18" t="n">
        <f aca="false">IF($AD283=1,$G283,1)</f>
        <v>1</v>
      </c>
      <c r="AJ283" s="18" t="n">
        <f aca="false">IF($AD283=1,$V283,1)</f>
        <v>1</v>
      </c>
      <c r="AK283" s="18" t="n">
        <f aca="false">IF($AD283=1,$Y283,1)</f>
        <v>1</v>
      </c>
    </row>
    <row r="284" customFormat="false" ht="15" hidden="false" customHeight="false" outlineLevel="0" collapsed="false">
      <c r="A284" s="10"/>
      <c r="B284" s="10"/>
      <c r="C284" s="12"/>
      <c r="D284" s="17"/>
      <c r="E284" s="13"/>
      <c r="F284" s="21"/>
      <c r="G284" s="12"/>
      <c r="H284" s="12"/>
      <c r="I284" s="12"/>
      <c r="J284" s="12"/>
      <c r="K284" s="12"/>
      <c r="L284" s="12"/>
      <c r="M284" s="15"/>
      <c r="N284" s="15"/>
      <c r="O284" s="12"/>
      <c r="P284" s="17"/>
      <c r="Q284" s="22" t="str">
        <f aca="false">IF(OR($G284="",Setup!$B$5=""),"",Setup!$B$5/$G284)</f>
        <v/>
      </c>
      <c r="R284" s="23" t="str">
        <f aca="false">IF(OR($E284="",$Q284=""),"",1-(1-$E284)^$Q284)</f>
        <v/>
      </c>
      <c r="S284" s="22" t="str">
        <f aca="false">IF(OR($R284="",$H284=""),"",$H284*$R284)</f>
        <v/>
      </c>
      <c r="T284" s="23" t="str">
        <f aca="false">IF(OR($E284="",$I284=""),"",MIN(1,MIN(N($F284),$E284)+($E284-MIN(N($F284),$E284))*(1-$I284)))</f>
        <v/>
      </c>
      <c r="U284" s="23" t="str">
        <f aca="false">IF(OR($T284="",$Q284=""),"",1-(1-$T284)^$Q284)</f>
        <v/>
      </c>
      <c r="V284" s="23" t="str">
        <f aca="false">IF($M284&lt;&gt;"",$M284,IF($G284="","",MAX(1,(Setup!$B$6/$G284)^Setup!$B$7)))</f>
        <v/>
      </c>
      <c r="W284" s="22" t="str">
        <f aca="false">IF(COUNT($J284:$L284)&lt;3,"",Setup!$B$10*(6-$J284)+Setup!$B$11*$K284+Setup!$B$12*$L284)</f>
        <v/>
      </c>
      <c r="X284" s="23" t="str">
        <f aca="false">IF($W284="","",IF(LEFT(Setup!$B$15,1)="B",EXP(Setup!$B$14*($W284-1)),1+Setup!$B$14*($W284-1)))</f>
        <v/>
      </c>
      <c r="Y284" s="23" t="str">
        <f aca="false">IF($N284&lt;&gt;"",$N284,$X284)</f>
        <v/>
      </c>
      <c r="Z284" s="22" t="str">
        <f aca="false">IF(OR($H284="",$U284="",$V284=""),"",$H284*$U284*$V284)</f>
        <v/>
      </c>
      <c r="AA284" s="22" t="str">
        <f aca="false">IF(OR($Z284="",$Y284=""),"",$Z284*$Y284)</f>
        <v/>
      </c>
      <c r="AB284" s="1" t="str">
        <f aca="false">IF($A284="","",IF(OR($E284="",$G284="",$H284="",$I284="",AND($N284="",COUNT($J284:$L284)&lt;3)),"Missing: "&amp;IF($E284="","P ","")&amp;IF($G284="","T ","")&amp;IF($H284="","I ","")&amp;IF($I284="","C ","")&amp;IF(AND($N284="",COUNT($J284:$L284)&lt;3),"C_ctrl/C_ext/C_irr",""),IF(N($F284)&gt;$E284,"P_floor &gt; P (floor capped at P)","OK")))</f>
        <v/>
      </c>
      <c r="AC284" s="1" t="str">
        <f aca="false">IF($AA284="","",$AA284+ROW()/1000000)</f>
        <v/>
      </c>
      <c r="AD284" s="18" t="n">
        <f aca="false">IF(AND($A284&lt;&gt;"",ISNUMBER($AA284)),1,0)</f>
        <v>0</v>
      </c>
      <c r="AE284" s="18" t="n">
        <f aca="false">IF($AD284=1,$H284,0)</f>
        <v>0</v>
      </c>
      <c r="AF284" s="18" t="n">
        <f aca="false">IF($AD284=1,$E284,0)</f>
        <v>0</v>
      </c>
      <c r="AG284" s="18" t="n">
        <f aca="false">IF($AD284=1,MIN(N($F284),$E284),0)</f>
        <v>0</v>
      </c>
      <c r="AH284" s="18" t="n">
        <f aca="false">IF($AD284=1,$I284,0)</f>
        <v>0</v>
      </c>
      <c r="AI284" s="18" t="n">
        <f aca="false">IF($AD284=1,$G284,1)</f>
        <v>1</v>
      </c>
      <c r="AJ284" s="18" t="n">
        <f aca="false">IF($AD284=1,$V284,1)</f>
        <v>1</v>
      </c>
      <c r="AK284" s="18" t="n">
        <f aca="false">IF($AD284=1,$Y284,1)</f>
        <v>1</v>
      </c>
    </row>
    <row r="285" customFormat="false" ht="15" hidden="false" customHeight="false" outlineLevel="0" collapsed="false">
      <c r="A285" s="10"/>
      <c r="B285" s="10"/>
      <c r="C285" s="12"/>
      <c r="D285" s="17"/>
      <c r="E285" s="13"/>
      <c r="F285" s="21"/>
      <c r="G285" s="12"/>
      <c r="H285" s="12"/>
      <c r="I285" s="12"/>
      <c r="J285" s="12"/>
      <c r="K285" s="12"/>
      <c r="L285" s="12"/>
      <c r="M285" s="15"/>
      <c r="N285" s="15"/>
      <c r="O285" s="12"/>
      <c r="P285" s="17"/>
      <c r="Q285" s="22" t="str">
        <f aca="false">IF(OR($G285="",Setup!$B$5=""),"",Setup!$B$5/$G285)</f>
        <v/>
      </c>
      <c r="R285" s="23" t="str">
        <f aca="false">IF(OR($E285="",$Q285=""),"",1-(1-$E285)^$Q285)</f>
        <v/>
      </c>
      <c r="S285" s="22" t="str">
        <f aca="false">IF(OR($R285="",$H285=""),"",$H285*$R285)</f>
        <v/>
      </c>
      <c r="T285" s="23" t="str">
        <f aca="false">IF(OR($E285="",$I285=""),"",MIN(1,MIN(N($F285),$E285)+($E285-MIN(N($F285),$E285))*(1-$I285)))</f>
        <v/>
      </c>
      <c r="U285" s="23" t="str">
        <f aca="false">IF(OR($T285="",$Q285=""),"",1-(1-$T285)^$Q285)</f>
        <v/>
      </c>
      <c r="V285" s="23" t="str">
        <f aca="false">IF($M285&lt;&gt;"",$M285,IF($G285="","",MAX(1,(Setup!$B$6/$G285)^Setup!$B$7)))</f>
        <v/>
      </c>
      <c r="W285" s="22" t="str">
        <f aca="false">IF(COUNT($J285:$L285)&lt;3,"",Setup!$B$10*(6-$J285)+Setup!$B$11*$K285+Setup!$B$12*$L285)</f>
        <v/>
      </c>
      <c r="X285" s="23" t="str">
        <f aca="false">IF($W285="","",IF(LEFT(Setup!$B$15,1)="B",EXP(Setup!$B$14*($W285-1)),1+Setup!$B$14*($W285-1)))</f>
        <v/>
      </c>
      <c r="Y285" s="23" t="str">
        <f aca="false">IF($N285&lt;&gt;"",$N285,$X285)</f>
        <v/>
      </c>
      <c r="Z285" s="22" t="str">
        <f aca="false">IF(OR($H285="",$U285="",$V285=""),"",$H285*$U285*$V285)</f>
        <v/>
      </c>
      <c r="AA285" s="22" t="str">
        <f aca="false">IF(OR($Z285="",$Y285=""),"",$Z285*$Y285)</f>
        <v/>
      </c>
      <c r="AB285" s="1" t="str">
        <f aca="false">IF($A285="","",IF(OR($E285="",$G285="",$H285="",$I285="",AND($N285="",COUNT($J285:$L285)&lt;3)),"Missing: "&amp;IF($E285="","P ","")&amp;IF($G285="","T ","")&amp;IF($H285="","I ","")&amp;IF($I285="","C ","")&amp;IF(AND($N285="",COUNT($J285:$L285)&lt;3),"C_ctrl/C_ext/C_irr",""),IF(N($F285)&gt;$E285,"P_floor &gt; P (floor capped at P)","OK")))</f>
        <v/>
      </c>
      <c r="AC285" s="1" t="str">
        <f aca="false">IF($AA285="","",$AA285+ROW()/1000000)</f>
        <v/>
      </c>
      <c r="AD285" s="18" t="n">
        <f aca="false">IF(AND($A285&lt;&gt;"",ISNUMBER($AA285)),1,0)</f>
        <v>0</v>
      </c>
      <c r="AE285" s="18" t="n">
        <f aca="false">IF($AD285=1,$H285,0)</f>
        <v>0</v>
      </c>
      <c r="AF285" s="18" t="n">
        <f aca="false">IF($AD285=1,$E285,0)</f>
        <v>0</v>
      </c>
      <c r="AG285" s="18" t="n">
        <f aca="false">IF($AD285=1,MIN(N($F285),$E285),0)</f>
        <v>0</v>
      </c>
      <c r="AH285" s="18" t="n">
        <f aca="false">IF($AD285=1,$I285,0)</f>
        <v>0</v>
      </c>
      <c r="AI285" s="18" t="n">
        <f aca="false">IF($AD285=1,$G285,1)</f>
        <v>1</v>
      </c>
      <c r="AJ285" s="18" t="n">
        <f aca="false">IF($AD285=1,$V285,1)</f>
        <v>1</v>
      </c>
      <c r="AK285" s="18" t="n">
        <f aca="false">IF($AD285=1,$Y285,1)</f>
        <v>1</v>
      </c>
    </row>
    <row r="286" customFormat="false" ht="15" hidden="false" customHeight="false" outlineLevel="0" collapsed="false">
      <c r="A286" s="10"/>
      <c r="B286" s="10"/>
      <c r="C286" s="12"/>
      <c r="D286" s="17"/>
      <c r="E286" s="13"/>
      <c r="F286" s="21"/>
      <c r="G286" s="12"/>
      <c r="H286" s="12"/>
      <c r="I286" s="12"/>
      <c r="J286" s="12"/>
      <c r="K286" s="12"/>
      <c r="L286" s="12"/>
      <c r="M286" s="15"/>
      <c r="N286" s="15"/>
      <c r="O286" s="12"/>
      <c r="P286" s="17"/>
      <c r="Q286" s="22" t="str">
        <f aca="false">IF(OR($G286="",Setup!$B$5=""),"",Setup!$B$5/$G286)</f>
        <v/>
      </c>
      <c r="R286" s="23" t="str">
        <f aca="false">IF(OR($E286="",$Q286=""),"",1-(1-$E286)^$Q286)</f>
        <v/>
      </c>
      <c r="S286" s="22" t="str">
        <f aca="false">IF(OR($R286="",$H286=""),"",$H286*$R286)</f>
        <v/>
      </c>
      <c r="T286" s="23" t="str">
        <f aca="false">IF(OR($E286="",$I286=""),"",MIN(1,MIN(N($F286),$E286)+($E286-MIN(N($F286),$E286))*(1-$I286)))</f>
        <v/>
      </c>
      <c r="U286" s="23" t="str">
        <f aca="false">IF(OR($T286="",$Q286=""),"",1-(1-$T286)^$Q286)</f>
        <v/>
      </c>
      <c r="V286" s="23" t="str">
        <f aca="false">IF($M286&lt;&gt;"",$M286,IF($G286="","",MAX(1,(Setup!$B$6/$G286)^Setup!$B$7)))</f>
        <v/>
      </c>
      <c r="W286" s="22" t="str">
        <f aca="false">IF(COUNT($J286:$L286)&lt;3,"",Setup!$B$10*(6-$J286)+Setup!$B$11*$K286+Setup!$B$12*$L286)</f>
        <v/>
      </c>
      <c r="X286" s="23" t="str">
        <f aca="false">IF($W286="","",IF(LEFT(Setup!$B$15,1)="B",EXP(Setup!$B$14*($W286-1)),1+Setup!$B$14*($W286-1)))</f>
        <v/>
      </c>
      <c r="Y286" s="23" t="str">
        <f aca="false">IF($N286&lt;&gt;"",$N286,$X286)</f>
        <v/>
      </c>
      <c r="Z286" s="22" t="str">
        <f aca="false">IF(OR($H286="",$U286="",$V286=""),"",$H286*$U286*$V286)</f>
        <v/>
      </c>
      <c r="AA286" s="22" t="str">
        <f aca="false">IF(OR($Z286="",$Y286=""),"",$Z286*$Y286)</f>
        <v/>
      </c>
      <c r="AB286" s="1" t="str">
        <f aca="false">IF($A286="","",IF(OR($E286="",$G286="",$H286="",$I286="",AND($N286="",COUNT($J286:$L286)&lt;3)),"Missing: "&amp;IF($E286="","P ","")&amp;IF($G286="","T ","")&amp;IF($H286="","I ","")&amp;IF($I286="","C ","")&amp;IF(AND($N286="",COUNT($J286:$L286)&lt;3),"C_ctrl/C_ext/C_irr",""),IF(N($F286)&gt;$E286,"P_floor &gt; P (floor capped at P)","OK")))</f>
        <v/>
      </c>
      <c r="AC286" s="1" t="str">
        <f aca="false">IF($AA286="","",$AA286+ROW()/1000000)</f>
        <v/>
      </c>
      <c r="AD286" s="18" t="n">
        <f aca="false">IF(AND($A286&lt;&gt;"",ISNUMBER($AA286)),1,0)</f>
        <v>0</v>
      </c>
      <c r="AE286" s="18" t="n">
        <f aca="false">IF($AD286=1,$H286,0)</f>
        <v>0</v>
      </c>
      <c r="AF286" s="18" t="n">
        <f aca="false">IF($AD286=1,$E286,0)</f>
        <v>0</v>
      </c>
      <c r="AG286" s="18" t="n">
        <f aca="false">IF($AD286=1,MIN(N($F286),$E286),0)</f>
        <v>0</v>
      </c>
      <c r="AH286" s="18" t="n">
        <f aca="false">IF($AD286=1,$I286,0)</f>
        <v>0</v>
      </c>
      <c r="AI286" s="18" t="n">
        <f aca="false">IF($AD286=1,$G286,1)</f>
        <v>1</v>
      </c>
      <c r="AJ286" s="18" t="n">
        <f aca="false">IF($AD286=1,$V286,1)</f>
        <v>1</v>
      </c>
      <c r="AK286" s="18" t="n">
        <f aca="false">IF($AD286=1,$Y286,1)</f>
        <v>1</v>
      </c>
    </row>
    <row r="287" customFormat="false" ht="15" hidden="false" customHeight="false" outlineLevel="0" collapsed="false">
      <c r="A287" s="10"/>
      <c r="B287" s="10"/>
      <c r="C287" s="12"/>
      <c r="D287" s="17"/>
      <c r="E287" s="13"/>
      <c r="F287" s="21"/>
      <c r="G287" s="12"/>
      <c r="H287" s="12"/>
      <c r="I287" s="12"/>
      <c r="J287" s="12"/>
      <c r="K287" s="12"/>
      <c r="L287" s="12"/>
      <c r="M287" s="15"/>
      <c r="N287" s="15"/>
      <c r="O287" s="12"/>
      <c r="P287" s="17"/>
      <c r="Q287" s="22" t="str">
        <f aca="false">IF(OR($G287="",Setup!$B$5=""),"",Setup!$B$5/$G287)</f>
        <v/>
      </c>
      <c r="R287" s="23" t="str">
        <f aca="false">IF(OR($E287="",$Q287=""),"",1-(1-$E287)^$Q287)</f>
        <v/>
      </c>
      <c r="S287" s="22" t="str">
        <f aca="false">IF(OR($R287="",$H287=""),"",$H287*$R287)</f>
        <v/>
      </c>
      <c r="T287" s="23" t="str">
        <f aca="false">IF(OR($E287="",$I287=""),"",MIN(1,MIN(N($F287),$E287)+($E287-MIN(N($F287),$E287))*(1-$I287)))</f>
        <v/>
      </c>
      <c r="U287" s="23" t="str">
        <f aca="false">IF(OR($T287="",$Q287=""),"",1-(1-$T287)^$Q287)</f>
        <v/>
      </c>
      <c r="V287" s="23" t="str">
        <f aca="false">IF($M287&lt;&gt;"",$M287,IF($G287="","",MAX(1,(Setup!$B$6/$G287)^Setup!$B$7)))</f>
        <v/>
      </c>
      <c r="W287" s="22" t="str">
        <f aca="false">IF(COUNT($J287:$L287)&lt;3,"",Setup!$B$10*(6-$J287)+Setup!$B$11*$K287+Setup!$B$12*$L287)</f>
        <v/>
      </c>
      <c r="X287" s="23" t="str">
        <f aca="false">IF($W287="","",IF(LEFT(Setup!$B$15,1)="B",EXP(Setup!$B$14*($W287-1)),1+Setup!$B$14*($W287-1)))</f>
        <v/>
      </c>
      <c r="Y287" s="23" t="str">
        <f aca="false">IF($N287&lt;&gt;"",$N287,$X287)</f>
        <v/>
      </c>
      <c r="Z287" s="22" t="str">
        <f aca="false">IF(OR($H287="",$U287="",$V287=""),"",$H287*$U287*$V287)</f>
        <v/>
      </c>
      <c r="AA287" s="22" t="str">
        <f aca="false">IF(OR($Z287="",$Y287=""),"",$Z287*$Y287)</f>
        <v/>
      </c>
      <c r="AB287" s="1" t="str">
        <f aca="false">IF($A287="","",IF(OR($E287="",$G287="",$H287="",$I287="",AND($N287="",COUNT($J287:$L287)&lt;3)),"Missing: "&amp;IF($E287="","P ","")&amp;IF($G287="","T ","")&amp;IF($H287="","I ","")&amp;IF($I287="","C ","")&amp;IF(AND($N287="",COUNT($J287:$L287)&lt;3),"C_ctrl/C_ext/C_irr",""),IF(N($F287)&gt;$E287,"P_floor &gt; P (floor capped at P)","OK")))</f>
        <v/>
      </c>
      <c r="AC287" s="1" t="str">
        <f aca="false">IF($AA287="","",$AA287+ROW()/1000000)</f>
        <v/>
      </c>
      <c r="AD287" s="18" t="n">
        <f aca="false">IF(AND($A287&lt;&gt;"",ISNUMBER($AA287)),1,0)</f>
        <v>0</v>
      </c>
      <c r="AE287" s="18" t="n">
        <f aca="false">IF($AD287=1,$H287,0)</f>
        <v>0</v>
      </c>
      <c r="AF287" s="18" t="n">
        <f aca="false">IF($AD287=1,$E287,0)</f>
        <v>0</v>
      </c>
      <c r="AG287" s="18" t="n">
        <f aca="false">IF($AD287=1,MIN(N($F287),$E287),0)</f>
        <v>0</v>
      </c>
      <c r="AH287" s="18" t="n">
        <f aca="false">IF($AD287=1,$I287,0)</f>
        <v>0</v>
      </c>
      <c r="AI287" s="18" t="n">
        <f aca="false">IF($AD287=1,$G287,1)</f>
        <v>1</v>
      </c>
      <c r="AJ287" s="18" t="n">
        <f aca="false">IF($AD287=1,$V287,1)</f>
        <v>1</v>
      </c>
      <c r="AK287" s="18" t="n">
        <f aca="false">IF($AD287=1,$Y287,1)</f>
        <v>1</v>
      </c>
    </row>
    <row r="288" customFormat="false" ht="15" hidden="false" customHeight="false" outlineLevel="0" collapsed="false">
      <c r="A288" s="10"/>
      <c r="B288" s="10"/>
      <c r="C288" s="12"/>
      <c r="D288" s="17"/>
      <c r="E288" s="13"/>
      <c r="F288" s="21"/>
      <c r="G288" s="12"/>
      <c r="H288" s="12"/>
      <c r="I288" s="12"/>
      <c r="J288" s="12"/>
      <c r="K288" s="12"/>
      <c r="L288" s="12"/>
      <c r="M288" s="15"/>
      <c r="N288" s="15"/>
      <c r="O288" s="12"/>
      <c r="P288" s="17"/>
      <c r="Q288" s="22" t="str">
        <f aca="false">IF(OR($G288="",Setup!$B$5=""),"",Setup!$B$5/$G288)</f>
        <v/>
      </c>
      <c r="R288" s="23" t="str">
        <f aca="false">IF(OR($E288="",$Q288=""),"",1-(1-$E288)^$Q288)</f>
        <v/>
      </c>
      <c r="S288" s="22" t="str">
        <f aca="false">IF(OR($R288="",$H288=""),"",$H288*$R288)</f>
        <v/>
      </c>
      <c r="T288" s="23" t="str">
        <f aca="false">IF(OR($E288="",$I288=""),"",MIN(1,MIN(N($F288),$E288)+($E288-MIN(N($F288),$E288))*(1-$I288)))</f>
        <v/>
      </c>
      <c r="U288" s="23" t="str">
        <f aca="false">IF(OR($T288="",$Q288=""),"",1-(1-$T288)^$Q288)</f>
        <v/>
      </c>
      <c r="V288" s="23" t="str">
        <f aca="false">IF($M288&lt;&gt;"",$M288,IF($G288="","",MAX(1,(Setup!$B$6/$G288)^Setup!$B$7)))</f>
        <v/>
      </c>
      <c r="W288" s="22" t="str">
        <f aca="false">IF(COUNT($J288:$L288)&lt;3,"",Setup!$B$10*(6-$J288)+Setup!$B$11*$K288+Setup!$B$12*$L288)</f>
        <v/>
      </c>
      <c r="X288" s="23" t="str">
        <f aca="false">IF($W288="","",IF(LEFT(Setup!$B$15,1)="B",EXP(Setup!$B$14*($W288-1)),1+Setup!$B$14*($W288-1)))</f>
        <v/>
      </c>
      <c r="Y288" s="23" t="str">
        <f aca="false">IF($N288&lt;&gt;"",$N288,$X288)</f>
        <v/>
      </c>
      <c r="Z288" s="22" t="str">
        <f aca="false">IF(OR($H288="",$U288="",$V288=""),"",$H288*$U288*$V288)</f>
        <v/>
      </c>
      <c r="AA288" s="22" t="str">
        <f aca="false">IF(OR($Z288="",$Y288=""),"",$Z288*$Y288)</f>
        <v/>
      </c>
      <c r="AB288" s="1" t="str">
        <f aca="false">IF($A288="","",IF(OR($E288="",$G288="",$H288="",$I288="",AND($N288="",COUNT($J288:$L288)&lt;3)),"Missing: "&amp;IF($E288="","P ","")&amp;IF($G288="","T ","")&amp;IF($H288="","I ","")&amp;IF($I288="","C ","")&amp;IF(AND($N288="",COUNT($J288:$L288)&lt;3),"C_ctrl/C_ext/C_irr",""),IF(N($F288)&gt;$E288,"P_floor &gt; P (floor capped at P)","OK")))</f>
        <v/>
      </c>
      <c r="AC288" s="1" t="str">
        <f aca="false">IF($AA288="","",$AA288+ROW()/1000000)</f>
        <v/>
      </c>
      <c r="AD288" s="18" t="n">
        <f aca="false">IF(AND($A288&lt;&gt;"",ISNUMBER($AA288)),1,0)</f>
        <v>0</v>
      </c>
      <c r="AE288" s="18" t="n">
        <f aca="false">IF($AD288=1,$H288,0)</f>
        <v>0</v>
      </c>
      <c r="AF288" s="18" t="n">
        <f aca="false">IF($AD288=1,$E288,0)</f>
        <v>0</v>
      </c>
      <c r="AG288" s="18" t="n">
        <f aca="false">IF($AD288=1,MIN(N($F288),$E288),0)</f>
        <v>0</v>
      </c>
      <c r="AH288" s="18" t="n">
        <f aca="false">IF($AD288=1,$I288,0)</f>
        <v>0</v>
      </c>
      <c r="AI288" s="18" t="n">
        <f aca="false">IF($AD288=1,$G288,1)</f>
        <v>1</v>
      </c>
      <c r="AJ288" s="18" t="n">
        <f aca="false">IF($AD288=1,$V288,1)</f>
        <v>1</v>
      </c>
      <c r="AK288" s="18" t="n">
        <f aca="false">IF($AD288=1,$Y288,1)</f>
        <v>1</v>
      </c>
    </row>
    <row r="289" customFormat="false" ht="15" hidden="false" customHeight="false" outlineLevel="0" collapsed="false">
      <c r="A289" s="10"/>
      <c r="B289" s="10"/>
      <c r="C289" s="12"/>
      <c r="D289" s="17"/>
      <c r="E289" s="13"/>
      <c r="F289" s="21"/>
      <c r="G289" s="12"/>
      <c r="H289" s="12"/>
      <c r="I289" s="12"/>
      <c r="J289" s="12"/>
      <c r="K289" s="12"/>
      <c r="L289" s="12"/>
      <c r="M289" s="15"/>
      <c r="N289" s="15"/>
      <c r="O289" s="12"/>
      <c r="P289" s="17"/>
      <c r="Q289" s="22" t="str">
        <f aca="false">IF(OR($G289="",Setup!$B$5=""),"",Setup!$B$5/$G289)</f>
        <v/>
      </c>
      <c r="R289" s="23" t="str">
        <f aca="false">IF(OR($E289="",$Q289=""),"",1-(1-$E289)^$Q289)</f>
        <v/>
      </c>
      <c r="S289" s="22" t="str">
        <f aca="false">IF(OR($R289="",$H289=""),"",$H289*$R289)</f>
        <v/>
      </c>
      <c r="T289" s="23" t="str">
        <f aca="false">IF(OR($E289="",$I289=""),"",MIN(1,MIN(N($F289),$E289)+($E289-MIN(N($F289),$E289))*(1-$I289)))</f>
        <v/>
      </c>
      <c r="U289" s="23" t="str">
        <f aca="false">IF(OR($T289="",$Q289=""),"",1-(1-$T289)^$Q289)</f>
        <v/>
      </c>
      <c r="V289" s="23" t="str">
        <f aca="false">IF($M289&lt;&gt;"",$M289,IF($G289="","",MAX(1,(Setup!$B$6/$G289)^Setup!$B$7)))</f>
        <v/>
      </c>
      <c r="W289" s="22" t="str">
        <f aca="false">IF(COUNT($J289:$L289)&lt;3,"",Setup!$B$10*(6-$J289)+Setup!$B$11*$K289+Setup!$B$12*$L289)</f>
        <v/>
      </c>
      <c r="X289" s="23" t="str">
        <f aca="false">IF($W289="","",IF(LEFT(Setup!$B$15,1)="B",EXP(Setup!$B$14*($W289-1)),1+Setup!$B$14*($W289-1)))</f>
        <v/>
      </c>
      <c r="Y289" s="23" t="str">
        <f aca="false">IF($N289&lt;&gt;"",$N289,$X289)</f>
        <v/>
      </c>
      <c r="Z289" s="22" t="str">
        <f aca="false">IF(OR($H289="",$U289="",$V289=""),"",$H289*$U289*$V289)</f>
        <v/>
      </c>
      <c r="AA289" s="22" t="str">
        <f aca="false">IF(OR($Z289="",$Y289=""),"",$Z289*$Y289)</f>
        <v/>
      </c>
      <c r="AB289" s="1" t="str">
        <f aca="false">IF($A289="","",IF(OR($E289="",$G289="",$H289="",$I289="",AND($N289="",COUNT($J289:$L289)&lt;3)),"Missing: "&amp;IF($E289="","P ","")&amp;IF($G289="","T ","")&amp;IF($H289="","I ","")&amp;IF($I289="","C ","")&amp;IF(AND($N289="",COUNT($J289:$L289)&lt;3),"C_ctrl/C_ext/C_irr",""),IF(N($F289)&gt;$E289,"P_floor &gt; P (floor capped at P)","OK")))</f>
        <v/>
      </c>
      <c r="AC289" s="1" t="str">
        <f aca="false">IF($AA289="","",$AA289+ROW()/1000000)</f>
        <v/>
      </c>
      <c r="AD289" s="18" t="n">
        <f aca="false">IF(AND($A289&lt;&gt;"",ISNUMBER($AA289)),1,0)</f>
        <v>0</v>
      </c>
      <c r="AE289" s="18" t="n">
        <f aca="false">IF($AD289=1,$H289,0)</f>
        <v>0</v>
      </c>
      <c r="AF289" s="18" t="n">
        <f aca="false">IF($AD289=1,$E289,0)</f>
        <v>0</v>
      </c>
      <c r="AG289" s="18" t="n">
        <f aca="false">IF($AD289=1,MIN(N($F289),$E289),0)</f>
        <v>0</v>
      </c>
      <c r="AH289" s="18" t="n">
        <f aca="false">IF($AD289=1,$I289,0)</f>
        <v>0</v>
      </c>
      <c r="AI289" s="18" t="n">
        <f aca="false">IF($AD289=1,$G289,1)</f>
        <v>1</v>
      </c>
      <c r="AJ289" s="18" t="n">
        <f aca="false">IF($AD289=1,$V289,1)</f>
        <v>1</v>
      </c>
      <c r="AK289" s="18" t="n">
        <f aca="false">IF($AD289=1,$Y289,1)</f>
        <v>1</v>
      </c>
    </row>
    <row r="290" customFormat="false" ht="15" hidden="false" customHeight="false" outlineLevel="0" collapsed="false">
      <c r="A290" s="10"/>
      <c r="B290" s="10"/>
      <c r="C290" s="12"/>
      <c r="D290" s="17"/>
      <c r="E290" s="13"/>
      <c r="F290" s="21"/>
      <c r="G290" s="12"/>
      <c r="H290" s="12"/>
      <c r="I290" s="12"/>
      <c r="J290" s="12"/>
      <c r="K290" s="12"/>
      <c r="L290" s="12"/>
      <c r="M290" s="15"/>
      <c r="N290" s="15"/>
      <c r="O290" s="12"/>
      <c r="P290" s="17"/>
      <c r="Q290" s="22" t="str">
        <f aca="false">IF(OR($G290="",Setup!$B$5=""),"",Setup!$B$5/$G290)</f>
        <v/>
      </c>
      <c r="R290" s="23" t="str">
        <f aca="false">IF(OR($E290="",$Q290=""),"",1-(1-$E290)^$Q290)</f>
        <v/>
      </c>
      <c r="S290" s="22" t="str">
        <f aca="false">IF(OR($R290="",$H290=""),"",$H290*$R290)</f>
        <v/>
      </c>
      <c r="T290" s="23" t="str">
        <f aca="false">IF(OR($E290="",$I290=""),"",MIN(1,MIN(N($F290),$E290)+($E290-MIN(N($F290),$E290))*(1-$I290)))</f>
        <v/>
      </c>
      <c r="U290" s="23" t="str">
        <f aca="false">IF(OR($T290="",$Q290=""),"",1-(1-$T290)^$Q290)</f>
        <v/>
      </c>
      <c r="V290" s="23" t="str">
        <f aca="false">IF($M290&lt;&gt;"",$M290,IF($G290="","",MAX(1,(Setup!$B$6/$G290)^Setup!$B$7)))</f>
        <v/>
      </c>
      <c r="W290" s="22" t="str">
        <f aca="false">IF(COUNT($J290:$L290)&lt;3,"",Setup!$B$10*(6-$J290)+Setup!$B$11*$K290+Setup!$B$12*$L290)</f>
        <v/>
      </c>
      <c r="X290" s="23" t="str">
        <f aca="false">IF($W290="","",IF(LEFT(Setup!$B$15,1)="B",EXP(Setup!$B$14*($W290-1)),1+Setup!$B$14*($W290-1)))</f>
        <v/>
      </c>
      <c r="Y290" s="23" t="str">
        <f aca="false">IF($N290&lt;&gt;"",$N290,$X290)</f>
        <v/>
      </c>
      <c r="Z290" s="22" t="str">
        <f aca="false">IF(OR($H290="",$U290="",$V290=""),"",$H290*$U290*$V290)</f>
        <v/>
      </c>
      <c r="AA290" s="22" t="str">
        <f aca="false">IF(OR($Z290="",$Y290=""),"",$Z290*$Y290)</f>
        <v/>
      </c>
      <c r="AB290" s="1" t="str">
        <f aca="false">IF($A290="","",IF(OR($E290="",$G290="",$H290="",$I290="",AND($N290="",COUNT($J290:$L290)&lt;3)),"Missing: "&amp;IF($E290="","P ","")&amp;IF($G290="","T ","")&amp;IF($H290="","I ","")&amp;IF($I290="","C ","")&amp;IF(AND($N290="",COUNT($J290:$L290)&lt;3),"C_ctrl/C_ext/C_irr",""),IF(N($F290)&gt;$E290,"P_floor &gt; P (floor capped at P)","OK")))</f>
        <v/>
      </c>
      <c r="AC290" s="1" t="str">
        <f aca="false">IF($AA290="","",$AA290+ROW()/1000000)</f>
        <v/>
      </c>
      <c r="AD290" s="18" t="n">
        <f aca="false">IF(AND($A290&lt;&gt;"",ISNUMBER($AA290)),1,0)</f>
        <v>0</v>
      </c>
      <c r="AE290" s="18" t="n">
        <f aca="false">IF($AD290=1,$H290,0)</f>
        <v>0</v>
      </c>
      <c r="AF290" s="18" t="n">
        <f aca="false">IF($AD290=1,$E290,0)</f>
        <v>0</v>
      </c>
      <c r="AG290" s="18" t="n">
        <f aca="false">IF($AD290=1,MIN(N($F290),$E290),0)</f>
        <v>0</v>
      </c>
      <c r="AH290" s="18" t="n">
        <f aca="false">IF($AD290=1,$I290,0)</f>
        <v>0</v>
      </c>
      <c r="AI290" s="18" t="n">
        <f aca="false">IF($AD290=1,$G290,1)</f>
        <v>1</v>
      </c>
      <c r="AJ290" s="18" t="n">
        <f aca="false">IF($AD290=1,$V290,1)</f>
        <v>1</v>
      </c>
      <c r="AK290" s="18" t="n">
        <f aca="false">IF($AD290=1,$Y290,1)</f>
        <v>1</v>
      </c>
    </row>
    <row r="291" customFormat="false" ht="15" hidden="false" customHeight="false" outlineLevel="0" collapsed="false">
      <c r="A291" s="10"/>
      <c r="B291" s="10"/>
      <c r="C291" s="12"/>
      <c r="D291" s="17"/>
      <c r="E291" s="13"/>
      <c r="F291" s="21"/>
      <c r="G291" s="12"/>
      <c r="H291" s="12"/>
      <c r="I291" s="12"/>
      <c r="J291" s="12"/>
      <c r="K291" s="12"/>
      <c r="L291" s="12"/>
      <c r="M291" s="15"/>
      <c r="N291" s="15"/>
      <c r="O291" s="12"/>
      <c r="P291" s="17"/>
      <c r="Q291" s="22" t="str">
        <f aca="false">IF(OR($G291="",Setup!$B$5=""),"",Setup!$B$5/$G291)</f>
        <v/>
      </c>
      <c r="R291" s="23" t="str">
        <f aca="false">IF(OR($E291="",$Q291=""),"",1-(1-$E291)^$Q291)</f>
        <v/>
      </c>
      <c r="S291" s="22" t="str">
        <f aca="false">IF(OR($R291="",$H291=""),"",$H291*$R291)</f>
        <v/>
      </c>
      <c r="T291" s="23" t="str">
        <f aca="false">IF(OR($E291="",$I291=""),"",MIN(1,MIN(N($F291),$E291)+($E291-MIN(N($F291),$E291))*(1-$I291)))</f>
        <v/>
      </c>
      <c r="U291" s="23" t="str">
        <f aca="false">IF(OR($T291="",$Q291=""),"",1-(1-$T291)^$Q291)</f>
        <v/>
      </c>
      <c r="V291" s="23" t="str">
        <f aca="false">IF($M291&lt;&gt;"",$M291,IF($G291="","",MAX(1,(Setup!$B$6/$G291)^Setup!$B$7)))</f>
        <v/>
      </c>
      <c r="W291" s="22" t="str">
        <f aca="false">IF(COUNT($J291:$L291)&lt;3,"",Setup!$B$10*(6-$J291)+Setup!$B$11*$K291+Setup!$B$12*$L291)</f>
        <v/>
      </c>
      <c r="X291" s="23" t="str">
        <f aca="false">IF($W291="","",IF(LEFT(Setup!$B$15,1)="B",EXP(Setup!$B$14*($W291-1)),1+Setup!$B$14*($W291-1)))</f>
        <v/>
      </c>
      <c r="Y291" s="23" t="str">
        <f aca="false">IF($N291&lt;&gt;"",$N291,$X291)</f>
        <v/>
      </c>
      <c r="Z291" s="22" t="str">
        <f aca="false">IF(OR($H291="",$U291="",$V291=""),"",$H291*$U291*$V291)</f>
        <v/>
      </c>
      <c r="AA291" s="22" t="str">
        <f aca="false">IF(OR($Z291="",$Y291=""),"",$Z291*$Y291)</f>
        <v/>
      </c>
      <c r="AB291" s="1" t="str">
        <f aca="false">IF($A291="","",IF(OR($E291="",$G291="",$H291="",$I291="",AND($N291="",COUNT($J291:$L291)&lt;3)),"Missing: "&amp;IF($E291="","P ","")&amp;IF($G291="","T ","")&amp;IF($H291="","I ","")&amp;IF($I291="","C ","")&amp;IF(AND($N291="",COUNT($J291:$L291)&lt;3),"C_ctrl/C_ext/C_irr",""),IF(N($F291)&gt;$E291,"P_floor &gt; P (floor capped at P)","OK")))</f>
        <v/>
      </c>
      <c r="AC291" s="1" t="str">
        <f aca="false">IF($AA291="","",$AA291+ROW()/1000000)</f>
        <v/>
      </c>
      <c r="AD291" s="18" t="n">
        <f aca="false">IF(AND($A291&lt;&gt;"",ISNUMBER($AA291)),1,0)</f>
        <v>0</v>
      </c>
      <c r="AE291" s="18" t="n">
        <f aca="false">IF($AD291=1,$H291,0)</f>
        <v>0</v>
      </c>
      <c r="AF291" s="18" t="n">
        <f aca="false">IF($AD291=1,$E291,0)</f>
        <v>0</v>
      </c>
      <c r="AG291" s="18" t="n">
        <f aca="false">IF($AD291=1,MIN(N($F291),$E291),0)</f>
        <v>0</v>
      </c>
      <c r="AH291" s="18" t="n">
        <f aca="false">IF($AD291=1,$I291,0)</f>
        <v>0</v>
      </c>
      <c r="AI291" s="18" t="n">
        <f aca="false">IF($AD291=1,$G291,1)</f>
        <v>1</v>
      </c>
      <c r="AJ291" s="18" t="n">
        <f aca="false">IF($AD291=1,$V291,1)</f>
        <v>1</v>
      </c>
      <c r="AK291" s="18" t="n">
        <f aca="false">IF($AD291=1,$Y291,1)</f>
        <v>1</v>
      </c>
    </row>
    <row r="292" customFormat="false" ht="15" hidden="false" customHeight="false" outlineLevel="0" collapsed="false">
      <c r="A292" s="10"/>
      <c r="B292" s="10"/>
      <c r="C292" s="12"/>
      <c r="D292" s="17"/>
      <c r="E292" s="13"/>
      <c r="F292" s="21"/>
      <c r="G292" s="12"/>
      <c r="H292" s="12"/>
      <c r="I292" s="12"/>
      <c r="J292" s="12"/>
      <c r="K292" s="12"/>
      <c r="L292" s="12"/>
      <c r="M292" s="15"/>
      <c r="N292" s="15"/>
      <c r="O292" s="12"/>
      <c r="P292" s="17"/>
      <c r="Q292" s="22" t="str">
        <f aca="false">IF(OR($G292="",Setup!$B$5=""),"",Setup!$B$5/$G292)</f>
        <v/>
      </c>
      <c r="R292" s="23" t="str">
        <f aca="false">IF(OR($E292="",$Q292=""),"",1-(1-$E292)^$Q292)</f>
        <v/>
      </c>
      <c r="S292" s="22" t="str">
        <f aca="false">IF(OR($R292="",$H292=""),"",$H292*$R292)</f>
        <v/>
      </c>
      <c r="T292" s="23" t="str">
        <f aca="false">IF(OR($E292="",$I292=""),"",MIN(1,MIN(N($F292),$E292)+($E292-MIN(N($F292),$E292))*(1-$I292)))</f>
        <v/>
      </c>
      <c r="U292" s="23" t="str">
        <f aca="false">IF(OR($T292="",$Q292=""),"",1-(1-$T292)^$Q292)</f>
        <v/>
      </c>
      <c r="V292" s="23" t="str">
        <f aca="false">IF($M292&lt;&gt;"",$M292,IF($G292="","",MAX(1,(Setup!$B$6/$G292)^Setup!$B$7)))</f>
        <v/>
      </c>
      <c r="W292" s="22" t="str">
        <f aca="false">IF(COUNT($J292:$L292)&lt;3,"",Setup!$B$10*(6-$J292)+Setup!$B$11*$K292+Setup!$B$12*$L292)</f>
        <v/>
      </c>
      <c r="X292" s="23" t="str">
        <f aca="false">IF($W292="","",IF(LEFT(Setup!$B$15,1)="B",EXP(Setup!$B$14*($W292-1)),1+Setup!$B$14*($W292-1)))</f>
        <v/>
      </c>
      <c r="Y292" s="23" t="str">
        <f aca="false">IF($N292&lt;&gt;"",$N292,$X292)</f>
        <v/>
      </c>
      <c r="Z292" s="22" t="str">
        <f aca="false">IF(OR($H292="",$U292="",$V292=""),"",$H292*$U292*$V292)</f>
        <v/>
      </c>
      <c r="AA292" s="22" t="str">
        <f aca="false">IF(OR($Z292="",$Y292=""),"",$Z292*$Y292)</f>
        <v/>
      </c>
      <c r="AB292" s="1" t="str">
        <f aca="false">IF($A292="","",IF(OR($E292="",$G292="",$H292="",$I292="",AND($N292="",COUNT($J292:$L292)&lt;3)),"Missing: "&amp;IF($E292="","P ","")&amp;IF($G292="","T ","")&amp;IF($H292="","I ","")&amp;IF($I292="","C ","")&amp;IF(AND($N292="",COUNT($J292:$L292)&lt;3),"C_ctrl/C_ext/C_irr",""),IF(N($F292)&gt;$E292,"P_floor &gt; P (floor capped at P)","OK")))</f>
        <v/>
      </c>
      <c r="AC292" s="1" t="str">
        <f aca="false">IF($AA292="","",$AA292+ROW()/1000000)</f>
        <v/>
      </c>
      <c r="AD292" s="18" t="n">
        <f aca="false">IF(AND($A292&lt;&gt;"",ISNUMBER($AA292)),1,0)</f>
        <v>0</v>
      </c>
      <c r="AE292" s="18" t="n">
        <f aca="false">IF($AD292=1,$H292,0)</f>
        <v>0</v>
      </c>
      <c r="AF292" s="18" t="n">
        <f aca="false">IF($AD292=1,$E292,0)</f>
        <v>0</v>
      </c>
      <c r="AG292" s="18" t="n">
        <f aca="false">IF($AD292=1,MIN(N($F292),$E292),0)</f>
        <v>0</v>
      </c>
      <c r="AH292" s="18" t="n">
        <f aca="false">IF($AD292=1,$I292,0)</f>
        <v>0</v>
      </c>
      <c r="AI292" s="18" t="n">
        <f aca="false">IF($AD292=1,$G292,1)</f>
        <v>1</v>
      </c>
      <c r="AJ292" s="18" t="n">
        <f aca="false">IF($AD292=1,$V292,1)</f>
        <v>1</v>
      </c>
      <c r="AK292" s="18" t="n">
        <f aca="false">IF($AD292=1,$Y292,1)</f>
        <v>1</v>
      </c>
    </row>
    <row r="293" customFormat="false" ht="15" hidden="false" customHeight="false" outlineLevel="0" collapsed="false">
      <c r="A293" s="10"/>
      <c r="B293" s="10"/>
      <c r="C293" s="12"/>
      <c r="D293" s="17"/>
      <c r="E293" s="13"/>
      <c r="F293" s="21"/>
      <c r="G293" s="12"/>
      <c r="H293" s="12"/>
      <c r="I293" s="12"/>
      <c r="J293" s="12"/>
      <c r="K293" s="12"/>
      <c r="L293" s="12"/>
      <c r="M293" s="15"/>
      <c r="N293" s="15"/>
      <c r="O293" s="12"/>
      <c r="P293" s="17"/>
      <c r="Q293" s="22" t="str">
        <f aca="false">IF(OR($G293="",Setup!$B$5=""),"",Setup!$B$5/$G293)</f>
        <v/>
      </c>
      <c r="R293" s="23" t="str">
        <f aca="false">IF(OR($E293="",$Q293=""),"",1-(1-$E293)^$Q293)</f>
        <v/>
      </c>
      <c r="S293" s="22" t="str">
        <f aca="false">IF(OR($R293="",$H293=""),"",$H293*$R293)</f>
        <v/>
      </c>
      <c r="T293" s="23" t="str">
        <f aca="false">IF(OR($E293="",$I293=""),"",MIN(1,MIN(N($F293),$E293)+($E293-MIN(N($F293),$E293))*(1-$I293)))</f>
        <v/>
      </c>
      <c r="U293" s="23" t="str">
        <f aca="false">IF(OR($T293="",$Q293=""),"",1-(1-$T293)^$Q293)</f>
        <v/>
      </c>
      <c r="V293" s="23" t="str">
        <f aca="false">IF($M293&lt;&gt;"",$M293,IF($G293="","",MAX(1,(Setup!$B$6/$G293)^Setup!$B$7)))</f>
        <v/>
      </c>
      <c r="W293" s="22" t="str">
        <f aca="false">IF(COUNT($J293:$L293)&lt;3,"",Setup!$B$10*(6-$J293)+Setup!$B$11*$K293+Setup!$B$12*$L293)</f>
        <v/>
      </c>
      <c r="X293" s="23" t="str">
        <f aca="false">IF($W293="","",IF(LEFT(Setup!$B$15,1)="B",EXP(Setup!$B$14*($W293-1)),1+Setup!$B$14*($W293-1)))</f>
        <v/>
      </c>
      <c r="Y293" s="23" t="str">
        <f aca="false">IF($N293&lt;&gt;"",$N293,$X293)</f>
        <v/>
      </c>
      <c r="Z293" s="22" t="str">
        <f aca="false">IF(OR($H293="",$U293="",$V293=""),"",$H293*$U293*$V293)</f>
        <v/>
      </c>
      <c r="AA293" s="22" t="str">
        <f aca="false">IF(OR($Z293="",$Y293=""),"",$Z293*$Y293)</f>
        <v/>
      </c>
      <c r="AB293" s="1" t="str">
        <f aca="false">IF($A293="","",IF(OR($E293="",$G293="",$H293="",$I293="",AND($N293="",COUNT($J293:$L293)&lt;3)),"Missing: "&amp;IF($E293="","P ","")&amp;IF($G293="","T ","")&amp;IF($H293="","I ","")&amp;IF($I293="","C ","")&amp;IF(AND($N293="",COUNT($J293:$L293)&lt;3),"C_ctrl/C_ext/C_irr",""),IF(N($F293)&gt;$E293,"P_floor &gt; P (floor capped at P)","OK")))</f>
        <v/>
      </c>
      <c r="AC293" s="1" t="str">
        <f aca="false">IF($AA293="","",$AA293+ROW()/1000000)</f>
        <v/>
      </c>
      <c r="AD293" s="18" t="n">
        <f aca="false">IF(AND($A293&lt;&gt;"",ISNUMBER($AA293)),1,0)</f>
        <v>0</v>
      </c>
      <c r="AE293" s="18" t="n">
        <f aca="false">IF($AD293=1,$H293,0)</f>
        <v>0</v>
      </c>
      <c r="AF293" s="18" t="n">
        <f aca="false">IF($AD293=1,$E293,0)</f>
        <v>0</v>
      </c>
      <c r="AG293" s="18" t="n">
        <f aca="false">IF($AD293=1,MIN(N($F293),$E293),0)</f>
        <v>0</v>
      </c>
      <c r="AH293" s="18" t="n">
        <f aca="false">IF($AD293=1,$I293,0)</f>
        <v>0</v>
      </c>
      <c r="AI293" s="18" t="n">
        <f aca="false">IF($AD293=1,$G293,1)</f>
        <v>1</v>
      </c>
      <c r="AJ293" s="18" t="n">
        <f aca="false">IF($AD293=1,$V293,1)</f>
        <v>1</v>
      </c>
      <c r="AK293" s="18" t="n">
        <f aca="false">IF($AD293=1,$Y293,1)</f>
        <v>1</v>
      </c>
    </row>
    <row r="294" customFormat="false" ht="15" hidden="false" customHeight="false" outlineLevel="0" collapsed="false">
      <c r="A294" s="10"/>
      <c r="B294" s="10"/>
      <c r="C294" s="12"/>
      <c r="D294" s="17"/>
      <c r="E294" s="13"/>
      <c r="F294" s="21"/>
      <c r="G294" s="12"/>
      <c r="H294" s="12"/>
      <c r="I294" s="12"/>
      <c r="J294" s="12"/>
      <c r="K294" s="12"/>
      <c r="L294" s="12"/>
      <c r="M294" s="15"/>
      <c r="N294" s="15"/>
      <c r="O294" s="12"/>
      <c r="P294" s="17"/>
      <c r="Q294" s="22" t="str">
        <f aca="false">IF(OR($G294="",Setup!$B$5=""),"",Setup!$B$5/$G294)</f>
        <v/>
      </c>
      <c r="R294" s="23" t="str">
        <f aca="false">IF(OR($E294="",$Q294=""),"",1-(1-$E294)^$Q294)</f>
        <v/>
      </c>
      <c r="S294" s="22" t="str">
        <f aca="false">IF(OR($R294="",$H294=""),"",$H294*$R294)</f>
        <v/>
      </c>
      <c r="T294" s="23" t="str">
        <f aca="false">IF(OR($E294="",$I294=""),"",MIN(1,MIN(N($F294),$E294)+($E294-MIN(N($F294),$E294))*(1-$I294)))</f>
        <v/>
      </c>
      <c r="U294" s="23" t="str">
        <f aca="false">IF(OR($T294="",$Q294=""),"",1-(1-$T294)^$Q294)</f>
        <v/>
      </c>
      <c r="V294" s="23" t="str">
        <f aca="false">IF($M294&lt;&gt;"",$M294,IF($G294="","",MAX(1,(Setup!$B$6/$G294)^Setup!$B$7)))</f>
        <v/>
      </c>
      <c r="W294" s="22" t="str">
        <f aca="false">IF(COUNT($J294:$L294)&lt;3,"",Setup!$B$10*(6-$J294)+Setup!$B$11*$K294+Setup!$B$12*$L294)</f>
        <v/>
      </c>
      <c r="X294" s="23" t="str">
        <f aca="false">IF($W294="","",IF(LEFT(Setup!$B$15,1)="B",EXP(Setup!$B$14*($W294-1)),1+Setup!$B$14*($W294-1)))</f>
        <v/>
      </c>
      <c r="Y294" s="23" t="str">
        <f aca="false">IF($N294&lt;&gt;"",$N294,$X294)</f>
        <v/>
      </c>
      <c r="Z294" s="22" t="str">
        <f aca="false">IF(OR($H294="",$U294="",$V294=""),"",$H294*$U294*$V294)</f>
        <v/>
      </c>
      <c r="AA294" s="22" t="str">
        <f aca="false">IF(OR($Z294="",$Y294=""),"",$Z294*$Y294)</f>
        <v/>
      </c>
      <c r="AB294" s="1" t="str">
        <f aca="false">IF($A294="","",IF(OR($E294="",$G294="",$H294="",$I294="",AND($N294="",COUNT($J294:$L294)&lt;3)),"Missing: "&amp;IF($E294="","P ","")&amp;IF($G294="","T ","")&amp;IF($H294="","I ","")&amp;IF($I294="","C ","")&amp;IF(AND($N294="",COUNT($J294:$L294)&lt;3),"C_ctrl/C_ext/C_irr",""),IF(N($F294)&gt;$E294,"P_floor &gt; P (floor capped at P)","OK")))</f>
        <v/>
      </c>
      <c r="AC294" s="1" t="str">
        <f aca="false">IF($AA294="","",$AA294+ROW()/1000000)</f>
        <v/>
      </c>
      <c r="AD294" s="18" t="n">
        <f aca="false">IF(AND($A294&lt;&gt;"",ISNUMBER($AA294)),1,0)</f>
        <v>0</v>
      </c>
      <c r="AE294" s="18" t="n">
        <f aca="false">IF($AD294=1,$H294,0)</f>
        <v>0</v>
      </c>
      <c r="AF294" s="18" t="n">
        <f aca="false">IF($AD294=1,$E294,0)</f>
        <v>0</v>
      </c>
      <c r="AG294" s="18" t="n">
        <f aca="false">IF($AD294=1,MIN(N($F294),$E294),0)</f>
        <v>0</v>
      </c>
      <c r="AH294" s="18" t="n">
        <f aca="false">IF($AD294=1,$I294,0)</f>
        <v>0</v>
      </c>
      <c r="AI294" s="18" t="n">
        <f aca="false">IF($AD294=1,$G294,1)</f>
        <v>1</v>
      </c>
      <c r="AJ294" s="18" t="n">
        <f aca="false">IF($AD294=1,$V294,1)</f>
        <v>1</v>
      </c>
      <c r="AK294" s="18" t="n">
        <f aca="false">IF($AD294=1,$Y294,1)</f>
        <v>1</v>
      </c>
    </row>
    <row r="295" customFormat="false" ht="15" hidden="false" customHeight="false" outlineLevel="0" collapsed="false">
      <c r="A295" s="10"/>
      <c r="B295" s="10"/>
      <c r="C295" s="12"/>
      <c r="D295" s="17"/>
      <c r="E295" s="13"/>
      <c r="F295" s="21"/>
      <c r="G295" s="12"/>
      <c r="H295" s="12"/>
      <c r="I295" s="12"/>
      <c r="J295" s="12"/>
      <c r="K295" s="12"/>
      <c r="L295" s="12"/>
      <c r="M295" s="15"/>
      <c r="N295" s="15"/>
      <c r="O295" s="12"/>
      <c r="P295" s="17"/>
      <c r="Q295" s="22" t="str">
        <f aca="false">IF(OR($G295="",Setup!$B$5=""),"",Setup!$B$5/$G295)</f>
        <v/>
      </c>
      <c r="R295" s="23" t="str">
        <f aca="false">IF(OR($E295="",$Q295=""),"",1-(1-$E295)^$Q295)</f>
        <v/>
      </c>
      <c r="S295" s="22" t="str">
        <f aca="false">IF(OR($R295="",$H295=""),"",$H295*$R295)</f>
        <v/>
      </c>
      <c r="T295" s="23" t="str">
        <f aca="false">IF(OR($E295="",$I295=""),"",MIN(1,MIN(N($F295),$E295)+($E295-MIN(N($F295),$E295))*(1-$I295)))</f>
        <v/>
      </c>
      <c r="U295" s="23" t="str">
        <f aca="false">IF(OR($T295="",$Q295=""),"",1-(1-$T295)^$Q295)</f>
        <v/>
      </c>
      <c r="V295" s="23" t="str">
        <f aca="false">IF($M295&lt;&gt;"",$M295,IF($G295="","",MAX(1,(Setup!$B$6/$G295)^Setup!$B$7)))</f>
        <v/>
      </c>
      <c r="W295" s="22" t="str">
        <f aca="false">IF(COUNT($J295:$L295)&lt;3,"",Setup!$B$10*(6-$J295)+Setup!$B$11*$K295+Setup!$B$12*$L295)</f>
        <v/>
      </c>
      <c r="X295" s="23" t="str">
        <f aca="false">IF($W295="","",IF(LEFT(Setup!$B$15,1)="B",EXP(Setup!$B$14*($W295-1)),1+Setup!$B$14*($W295-1)))</f>
        <v/>
      </c>
      <c r="Y295" s="23" t="str">
        <f aca="false">IF($N295&lt;&gt;"",$N295,$X295)</f>
        <v/>
      </c>
      <c r="Z295" s="22" t="str">
        <f aca="false">IF(OR($H295="",$U295="",$V295=""),"",$H295*$U295*$V295)</f>
        <v/>
      </c>
      <c r="AA295" s="22" t="str">
        <f aca="false">IF(OR($Z295="",$Y295=""),"",$Z295*$Y295)</f>
        <v/>
      </c>
      <c r="AB295" s="1" t="str">
        <f aca="false">IF($A295="","",IF(OR($E295="",$G295="",$H295="",$I295="",AND($N295="",COUNT($J295:$L295)&lt;3)),"Missing: "&amp;IF($E295="","P ","")&amp;IF($G295="","T ","")&amp;IF($H295="","I ","")&amp;IF($I295="","C ","")&amp;IF(AND($N295="",COUNT($J295:$L295)&lt;3),"C_ctrl/C_ext/C_irr",""),IF(N($F295)&gt;$E295,"P_floor &gt; P (floor capped at P)","OK")))</f>
        <v/>
      </c>
      <c r="AC295" s="1" t="str">
        <f aca="false">IF($AA295="","",$AA295+ROW()/1000000)</f>
        <v/>
      </c>
      <c r="AD295" s="18" t="n">
        <f aca="false">IF(AND($A295&lt;&gt;"",ISNUMBER($AA295)),1,0)</f>
        <v>0</v>
      </c>
      <c r="AE295" s="18" t="n">
        <f aca="false">IF($AD295=1,$H295,0)</f>
        <v>0</v>
      </c>
      <c r="AF295" s="18" t="n">
        <f aca="false">IF($AD295=1,$E295,0)</f>
        <v>0</v>
      </c>
      <c r="AG295" s="18" t="n">
        <f aca="false">IF($AD295=1,MIN(N($F295),$E295),0)</f>
        <v>0</v>
      </c>
      <c r="AH295" s="18" t="n">
        <f aca="false">IF($AD295=1,$I295,0)</f>
        <v>0</v>
      </c>
      <c r="AI295" s="18" t="n">
        <f aca="false">IF($AD295=1,$G295,1)</f>
        <v>1</v>
      </c>
      <c r="AJ295" s="18" t="n">
        <f aca="false">IF($AD295=1,$V295,1)</f>
        <v>1</v>
      </c>
      <c r="AK295" s="18" t="n">
        <f aca="false">IF($AD295=1,$Y295,1)</f>
        <v>1</v>
      </c>
    </row>
    <row r="296" customFormat="false" ht="15" hidden="false" customHeight="false" outlineLevel="0" collapsed="false">
      <c r="A296" s="10"/>
      <c r="B296" s="10"/>
      <c r="C296" s="12"/>
      <c r="D296" s="17"/>
      <c r="E296" s="13"/>
      <c r="F296" s="21"/>
      <c r="G296" s="12"/>
      <c r="H296" s="12"/>
      <c r="I296" s="12"/>
      <c r="J296" s="12"/>
      <c r="K296" s="12"/>
      <c r="L296" s="12"/>
      <c r="M296" s="15"/>
      <c r="N296" s="15"/>
      <c r="O296" s="12"/>
      <c r="P296" s="17"/>
      <c r="Q296" s="22" t="str">
        <f aca="false">IF(OR($G296="",Setup!$B$5=""),"",Setup!$B$5/$G296)</f>
        <v/>
      </c>
      <c r="R296" s="23" t="str">
        <f aca="false">IF(OR($E296="",$Q296=""),"",1-(1-$E296)^$Q296)</f>
        <v/>
      </c>
      <c r="S296" s="22" t="str">
        <f aca="false">IF(OR($R296="",$H296=""),"",$H296*$R296)</f>
        <v/>
      </c>
      <c r="T296" s="23" t="str">
        <f aca="false">IF(OR($E296="",$I296=""),"",MIN(1,MIN(N($F296),$E296)+($E296-MIN(N($F296),$E296))*(1-$I296)))</f>
        <v/>
      </c>
      <c r="U296" s="23" t="str">
        <f aca="false">IF(OR($T296="",$Q296=""),"",1-(1-$T296)^$Q296)</f>
        <v/>
      </c>
      <c r="V296" s="23" t="str">
        <f aca="false">IF($M296&lt;&gt;"",$M296,IF($G296="","",MAX(1,(Setup!$B$6/$G296)^Setup!$B$7)))</f>
        <v/>
      </c>
      <c r="W296" s="22" t="str">
        <f aca="false">IF(COUNT($J296:$L296)&lt;3,"",Setup!$B$10*(6-$J296)+Setup!$B$11*$K296+Setup!$B$12*$L296)</f>
        <v/>
      </c>
      <c r="X296" s="23" t="str">
        <f aca="false">IF($W296="","",IF(LEFT(Setup!$B$15,1)="B",EXP(Setup!$B$14*($W296-1)),1+Setup!$B$14*($W296-1)))</f>
        <v/>
      </c>
      <c r="Y296" s="23" t="str">
        <f aca="false">IF($N296&lt;&gt;"",$N296,$X296)</f>
        <v/>
      </c>
      <c r="Z296" s="22" t="str">
        <f aca="false">IF(OR($H296="",$U296="",$V296=""),"",$H296*$U296*$V296)</f>
        <v/>
      </c>
      <c r="AA296" s="22" t="str">
        <f aca="false">IF(OR($Z296="",$Y296=""),"",$Z296*$Y296)</f>
        <v/>
      </c>
      <c r="AB296" s="1" t="str">
        <f aca="false">IF($A296="","",IF(OR($E296="",$G296="",$H296="",$I296="",AND($N296="",COUNT($J296:$L296)&lt;3)),"Missing: "&amp;IF($E296="","P ","")&amp;IF($G296="","T ","")&amp;IF($H296="","I ","")&amp;IF($I296="","C ","")&amp;IF(AND($N296="",COUNT($J296:$L296)&lt;3),"C_ctrl/C_ext/C_irr",""),IF(N($F296)&gt;$E296,"P_floor &gt; P (floor capped at P)","OK")))</f>
        <v/>
      </c>
      <c r="AC296" s="1" t="str">
        <f aca="false">IF($AA296="","",$AA296+ROW()/1000000)</f>
        <v/>
      </c>
      <c r="AD296" s="18" t="n">
        <f aca="false">IF(AND($A296&lt;&gt;"",ISNUMBER($AA296)),1,0)</f>
        <v>0</v>
      </c>
      <c r="AE296" s="18" t="n">
        <f aca="false">IF($AD296=1,$H296,0)</f>
        <v>0</v>
      </c>
      <c r="AF296" s="18" t="n">
        <f aca="false">IF($AD296=1,$E296,0)</f>
        <v>0</v>
      </c>
      <c r="AG296" s="18" t="n">
        <f aca="false">IF($AD296=1,MIN(N($F296),$E296),0)</f>
        <v>0</v>
      </c>
      <c r="AH296" s="18" t="n">
        <f aca="false">IF($AD296=1,$I296,0)</f>
        <v>0</v>
      </c>
      <c r="AI296" s="18" t="n">
        <f aca="false">IF($AD296=1,$G296,1)</f>
        <v>1</v>
      </c>
      <c r="AJ296" s="18" t="n">
        <f aca="false">IF($AD296=1,$V296,1)</f>
        <v>1</v>
      </c>
      <c r="AK296" s="18" t="n">
        <f aca="false">IF($AD296=1,$Y296,1)</f>
        <v>1</v>
      </c>
    </row>
    <row r="297" customFormat="false" ht="15" hidden="false" customHeight="false" outlineLevel="0" collapsed="false">
      <c r="A297" s="10"/>
      <c r="B297" s="10"/>
      <c r="C297" s="12"/>
      <c r="D297" s="17"/>
      <c r="E297" s="13"/>
      <c r="F297" s="21"/>
      <c r="G297" s="12"/>
      <c r="H297" s="12"/>
      <c r="I297" s="12"/>
      <c r="J297" s="12"/>
      <c r="K297" s="12"/>
      <c r="L297" s="12"/>
      <c r="M297" s="15"/>
      <c r="N297" s="15"/>
      <c r="O297" s="12"/>
      <c r="P297" s="17"/>
      <c r="Q297" s="22" t="str">
        <f aca="false">IF(OR($G297="",Setup!$B$5=""),"",Setup!$B$5/$G297)</f>
        <v/>
      </c>
      <c r="R297" s="23" t="str">
        <f aca="false">IF(OR($E297="",$Q297=""),"",1-(1-$E297)^$Q297)</f>
        <v/>
      </c>
      <c r="S297" s="22" t="str">
        <f aca="false">IF(OR($R297="",$H297=""),"",$H297*$R297)</f>
        <v/>
      </c>
      <c r="T297" s="23" t="str">
        <f aca="false">IF(OR($E297="",$I297=""),"",MIN(1,MIN(N($F297),$E297)+($E297-MIN(N($F297),$E297))*(1-$I297)))</f>
        <v/>
      </c>
      <c r="U297" s="23" t="str">
        <f aca="false">IF(OR($T297="",$Q297=""),"",1-(1-$T297)^$Q297)</f>
        <v/>
      </c>
      <c r="V297" s="23" t="str">
        <f aca="false">IF($M297&lt;&gt;"",$M297,IF($G297="","",MAX(1,(Setup!$B$6/$G297)^Setup!$B$7)))</f>
        <v/>
      </c>
      <c r="W297" s="22" t="str">
        <f aca="false">IF(COUNT($J297:$L297)&lt;3,"",Setup!$B$10*(6-$J297)+Setup!$B$11*$K297+Setup!$B$12*$L297)</f>
        <v/>
      </c>
      <c r="X297" s="23" t="str">
        <f aca="false">IF($W297="","",IF(LEFT(Setup!$B$15,1)="B",EXP(Setup!$B$14*($W297-1)),1+Setup!$B$14*($W297-1)))</f>
        <v/>
      </c>
      <c r="Y297" s="23" t="str">
        <f aca="false">IF($N297&lt;&gt;"",$N297,$X297)</f>
        <v/>
      </c>
      <c r="Z297" s="22" t="str">
        <f aca="false">IF(OR($H297="",$U297="",$V297=""),"",$H297*$U297*$V297)</f>
        <v/>
      </c>
      <c r="AA297" s="22" t="str">
        <f aca="false">IF(OR($Z297="",$Y297=""),"",$Z297*$Y297)</f>
        <v/>
      </c>
      <c r="AB297" s="1" t="str">
        <f aca="false">IF($A297="","",IF(OR($E297="",$G297="",$H297="",$I297="",AND($N297="",COUNT($J297:$L297)&lt;3)),"Missing: "&amp;IF($E297="","P ","")&amp;IF($G297="","T ","")&amp;IF($H297="","I ","")&amp;IF($I297="","C ","")&amp;IF(AND($N297="",COUNT($J297:$L297)&lt;3),"C_ctrl/C_ext/C_irr",""),IF(N($F297)&gt;$E297,"P_floor &gt; P (floor capped at P)","OK")))</f>
        <v/>
      </c>
      <c r="AC297" s="1" t="str">
        <f aca="false">IF($AA297="","",$AA297+ROW()/1000000)</f>
        <v/>
      </c>
      <c r="AD297" s="18" t="n">
        <f aca="false">IF(AND($A297&lt;&gt;"",ISNUMBER($AA297)),1,0)</f>
        <v>0</v>
      </c>
      <c r="AE297" s="18" t="n">
        <f aca="false">IF($AD297=1,$H297,0)</f>
        <v>0</v>
      </c>
      <c r="AF297" s="18" t="n">
        <f aca="false">IF($AD297=1,$E297,0)</f>
        <v>0</v>
      </c>
      <c r="AG297" s="18" t="n">
        <f aca="false">IF($AD297=1,MIN(N($F297),$E297),0)</f>
        <v>0</v>
      </c>
      <c r="AH297" s="18" t="n">
        <f aca="false">IF($AD297=1,$I297,0)</f>
        <v>0</v>
      </c>
      <c r="AI297" s="18" t="n">
        <f aca="false">IF($AD297=1,$G297,1)</f>
        <v>1</v>
      </c>
      <c r="AJ297" s="18" t="n">
        <f aca="false">IF($AD297=1,$V297,1)</f>
        <v>1</v>
      </c>
      <c r="AK297" s="18" t="n">
        <f aca="false">IF($AD297=1,$Y297,1)</f>
        <v>1</v>
      </c>
    </row>
    <row r="298" customFormat="false" ht="15" hidden="false" customHeight="false" outlineLevel="0" collapsed="false">
      <c r="A298" s="10"/>
      <c r="B298" s="10"/>
      <c r="C298" s="12"/>
      <c r="D298" s="17"/>
      <c r="E298" s="13"/>
      <c r="F298" s="21"/>
      <c r="G298" s="12"/>
      <c r="H298" s="12"/>
      <c r="I298" s="12"/>
      <c r="J298" s="12"/>
      <c r="K298" s="12"/>
      <c r="L298" s="12"/>
      <c r="M298" s="15"/>
      <c r="N298" s="15"/>
      <c r="O298" s="12"/>
      <c r="P298" s="17"/>
      <c r="Q298" s="22" t="str">
        <f aca="false">IF(OR($G298="",Setup!$B$5=""),"",Setup!$B$5/$G298)</f>
        <v/>
      </c>
      <c r="R298" s="23" t="str">
        <f aca="false">IF(OR($E298="",$Q298=""),"",1-(1-$E298)^$Q298)</f>
        <v/>
      </c>
      <c r="S298" s="22" t="str">
        <f aca="false">IF(OR($R298="",$H298=""),"",$H298*$R298)</f>
        <v/>
      </c>
      <c r="T298" s="23" t="str">
        <f aca="false">IF(OR($E298="",$I298=""),"",MIN(1,MIN(N($F298),$E298)+($E298-MIN(N($F298),$E298))*(1-$I298)))</f>
        <v/>
      </c>
      <c r="U298" s="23" t="str">
        <f aca="false">IF(OR($T298="",$Q298=""),"",1-(1-$T298)^$Q298)</f>
        <v/>
      </c>
      <c r="V298" s="23" t="str">
        <f aca="false">IF($M298&lt;&gt;"",$M298,IF($G298="","",MAX(1,(Setup!$B$6/$G298)^Setup!$B$7)))</f>
        <v/>
      </c>
      <c r="W298" s="22" t="str">
        <f aca="false">IF(COUNT($J298:$L298)&lt;3,"",Setup!$B$10*(6-$J298)+Setup!$B$11*$K298+Setup!$B$12*$L298)</f>
        <v/>
      </c>
      <c r="X298" s="23" t="str">
        <f aca="false">IF($W298="","",IF(LEFT(Setup!$B$15,1)="B",EXP(Setup!$B$14*($W298-1)),1+Setup!$B$14*($W298-1)))</f>
        <v/>
      </c>
      <c r="Y298" s="23" t="str">
        <f aca="false">IF($N298&lt;&gt;"",$N298,$X298)</f>
        <v/>
      </c>
      <c r="Z298" s="22" t="str">
        <f aca="false">IF(OR($H298="",$U298="",$V298=""),"",$H298*$U298*$V298)</f>
        <v/>
      </c>
      <c r="AA298" s="22" t="str">
        <f aca="false">IF(OR($Z298="",$Y298=""),"",$Z298*$Y298)</f>
        <v/>
      </c>
      <c r="AB298" s="1" t="str">
        <f aca="false">IF($A298="","",IF(OR($E298="",$G298="",$H298="",$I298="",AND($N298="",COUNT($J298:$L298)&lt;3)),"Missing: "&amp;IF($E298="","P ","")&amp;IF($G298="","T ","")&amp;IF($H298="","I ","")&amp;IF($I298="","C ","")&amp;IF(AND($N298="",COUNT($J298:$L298)&lt;3),"C_ctrl/C_ext/C_irr",""),IF(N($F298)&gt;$E298,"P_floor &gt; P (floor capped at P)","OK")))</f>
        <v/>
      </c>
      <c r="AC298" s="1" t="str">
        <f aca="false">IF($AA298="","",$AA298+ROW()/1000000)</f>
        <v/>
      </c>
      <c r="AD298" s="18" t="n">
        <f aca="false">IF(AND($A298&lt;&gt;"",ISNUMBER($AA298)),1,0)</f>
        <v>0</v>
      </c>
      <c r="AE298" s="18" t="n">
        <f aca="false">IF($AD298=1,$H298,0)</f>
        <v>0</v>
      </c>
      <c r="AF298" s="18" t="n">
        <f aca="false">IF($AD298=1,$E298,0)</f>
        <v>0</v>
      </c>
      <c r="AG298" s="18" t="n">
        <f aca="false">IF($AD298=1,MIN(N($F298),$E298),0)</f>
        <v>0</v>
      </c>
      <c r="AH298" s="18" t="n">
        <f aca="false">IF($AD298=1,$I298,0)</f>
        <v>0</v>
      </c>
      <c r="AI298" s="18" t="n">
        <f aca="false">IF($AD298=1,$G298,1)</f>
        <v>1</v>
      </c>
      <c r="AJ298" s="18" t="n">
        <f aca="false">IF($AD298=1,$V298,1)</f>
        <v>1</v>
      </c>
      <c r="AK298" s="18" t="n">
        <f aca="false">IF($AD298=1,$Y298,1)</f>
        <v>1</v>
      </c>
    </row>
    <row r="299" customFormat="false" ht="15" hidden="false" customHeight="false" outlineLevel="0" collapsed="false">
      <c r="A299" s="10"/>
      <c r="B299" s="10"/>
      <c r="C299" s="12"/>
      <c r="D299" s="17"/>
      <c r="E299" s="13"/>
      <c r="F299" s="21"/>
      <c r="G299" s="12"/>
      <c r="H299" s="12"/>
      <c r="I299" s="12"/>
      <c r="J299" s="12"/>
      <c r="K299" s="12"/>
      <c r="L299" s="12"/>
      <c r="M299" s="15"/>
      <c r="N299" s="15"/>
      <c r="O299" s="12"/>
      <c r="P299" s="17"/>
      <c r="Q299" s="22" t="str">
        <f aca="false">IF(OR($G299="",Setup!$B$5=""),"",Setup!$B$5/$G299)</f>
        <v/>
      </c>
      <c r="R299" s="23" t="str">
        <f aca="false">IF(OR($E299="",$Q299=""),"",1-(1-$E299)^$Q299)</f>
        <v/>
      </c>
      <c r="S299" s="22" t="str">
        <f aca="false">IF(OR($R299="",$H299=""),"",$H299*$R299)</f>
        <v/>
      </c>
      <c r="T299" s="23" t="str">
        <f aca="false">IF(OR($E299="",$I299=""),"",MIN(1,MIN(N($F299),$E299)+($E299-MIN(N($F299),$E299))*(1-$I299)))</f>
        <v/>
      </c>
      <c r="U299" s="23" t="str">
        <f aca="false">IF(OR($T299="",$Q299=""),"",1-(1-$T299)^$Q299)</f>
        <v/>
      </c>
      <c r="V299" s="23" t="str">
        <f aca="false">IF($M299&lt;&gt;"",$M299,IF($G299="","",MAX(1,(Setup!$B$6/$G299)^Setup!$B$7)))</f>
        <v/>
      </c>
      <c r="W299" s="22" t="str">
        <f aca="false">IF(COUNT($J299:$L299)&lt;3,"",Setup!$B$10*(6-$J299)+Setup!$B$11*$K299+Setup!$B$12*$L299)</f>
        <v/>
      </c>
      <c r="X299" s="23" t="str">
        <f aca="false">IF($W299="","",IF(LEFT(Setup!$B$15,1)="B",EXP(Setup!$B$14*($W299-1)),1+Setup!$B$14*($W299-1)))</f>
        <v/>
      </c>
      <c r="Y299" s="23" t="str">
        <f aca="false">IF($N299&lt;&gt;"",$N299,$X299)</f>
        <v/>
      </c>
      <c r="Z299" s="22" t="str">
        <f aca="false">IF(OR($H299="",$U299="",$V299=""),"",$H299*$U299*$V299)</f>
        <v/>
      </c>
      <c r="AA299" s="22" t="str">
        <f aca="false">IF(OR($Z299="",$Y299=""),"",$Z299*$Y299)</f>
        <v/>
      </c>
      <c r="AB299" s="1" t="str">
        <f aca="false">IF($A299="","",IF(OR($E299="",$G299="",$H299="",$I299="",AND($N299="",COUNT($J299:$L299)&lt;3)),"Missing: "&amp;IF($E299="","P ","")&amp;IF($G299="","T ","")&amp;IF($H299="","I ","")&amp;IF($I299="","C ","")&amp;IF(AND($N299="",COUNT($J299:$L299)&lt;3),"C_ctrl/C_ext/C_irr",""),IF(N($F299)&gt;$E299,"P_floor &gt; P (floor capped at P)","OK")))</f>
        <v/>
      </c>
      <c r="AC299" s="1" t="str">
        <f aca="false">IF($AA299="","",$AA299+ROW()/1000000)</f>
        <v/>
      </c>
      <c r="AD299" s="18" t="n">
        <f aca="false">IF(AND($A299&lt;&gt;"",ISNUMBER($AA299)),1,0)</f>
        <v>0</v>
      </c>
      <c r="AE299" s="18" t="n">
        <f aca="false">IF($AD299=1,$H299,0)</f>
        <v>0</v>
      </c>
      <c r="AF299" s="18" t="n">
        <f aca="false">IF($AD299=1,$E299,0)</f>
        <v>0</v>
      </c>
      <c r="AG299" s="18" t="n">
        <f aca="false">IF($AD299=1,MIN(N($F299),$E299),0)</f>
        <v>0</v>
      </c>
      <c r="AH299" s="18" t="n">
        <f aca="false">IF($AD299=1,$I299,0)</f>
        <v>0</v>
      </c>
      <c r="AI299" s="18" t="n">
        <f aca="false">IF($AD299=1,$G299,1)</f>
        <v>1</v>
      </c>
      <c r="AJ299" s="18" t="n">
        <f aca="false">IF($AD299=1,$V299,1)</f>
        <v>1</v>
      </c>
      <c r="AK299" s="18" t="n">
        <f aca="false">IF($AD299=1,$Y299,1)</f>
        <v>1</v>
      </c>
    </row>
    <row r="300" customFormat="false" ht="15" hidden="false" customHeight="false" outlineLevel="0" collapsed="false">
      <c r="A300" s="10"/>
      <c r="B300" s="10"/>
      <c r="C300" s="12"/>
      <c r="D300" s="17"/>
      <c r="E300" s="13"/>
      <c r="F300" s="21"/>
      <c r="G300" s="12"/>
      <c r="H300" s="12"/>
      <c r="I300" s="12"/>
      <c r="J300" s="12"/>
      <c r="K300" s="12"/>
      <c r="L300" s="12"/>
      <c r="M300" s="15"/>
      <c r="N300" s="15"/>
      <c r="O300" s="12"/>
      <c r="P300" s="17"/>
      <c r="Q300" s="22" t="str">
        <f aca="false">IF(OR($G300="",Setup!$B$5=""),"",Setup!$B$5/$G300)</f>
        <v/>
      </c>
      <c r="R300" s="23" t="str">
        <f aca="false">IF(OR($E300="",$Q300=""),"",1-(1-$E300)^$Q300)</f>
        <v/>
      </c>
      <c r="S300" s="22" t="str">
        <f aca="false">IF(OR($R300="",$H300=""),"",$H300*$R300)</f>
        <v/>
      </c>
      <c r="T300" s="23" t="str">
        <f aca="false">IF(OR($E300="",$I300=""),"",MIN(1,MIN(N($F300),$E300)+($E300-MIN(N($F300),$E300))*(1-$I300)))</f>
        <v/>
      </c>
      <c r="U300" s="23" t="str">
        <f aca="false">IF(OR($T300="",$Q300=""),"",1-(1-$T300)^$Q300)</f>
        <v/>
      </c>
      <c r="V300" s="23" t="str">
        <f aca="false">IF($M300&lt;&gt;"",$M300,IF($G300="","",MAX(1,(Setup!$B$6/$G300)^Setup!$B$7)))</f>
        <v/>
      </c>
      <c r="W300" s="22" t="str">
        <f aca="false">IF(COUNT($J300:$L300)&lt;3,"",Setup!$B$10*(6-$J300)+Setup!$B$11*$K300+Setup!$B$12*$L300)</f>
        <v/>
      </c>
      <c r="X300" s="23" t="str">
        <f aca="false">IF($W300="","",IF(LEFT(Setup!$B$15,1)="B",EXP(Setup!$B$14*($W300-1)),1+Setup!$B$14*($W300-1)))</f>
        <v/>
      </c>
      <c r="Y300" s="23" t="str">
        <f aca="false">IF($N300&lt;&gt;"",$N300,$X300)</f>
        <v/>
      </c>
      <c r="Z300" s="22" t="str">
        <f aca="false">IF(OR($H300="",$U300="",$V300=""),"",$H300*$U300*$V300)</f>
        <v/>
      </c>
      <c r="AA300" s="22" t="str">
        <f aca="false">IF(OR($Z300="",$Y300=""),"",$Z300*$Y300)</f>
        <v/>
      </c>
      <c r="AB300" s="1" t="str">
        <f aca="false">IF($A300="","",IF(OR($E300="",$G300="",$H300="",$I300="",AND($N300="",COUNT($J300:$L300)&lt;3)),"Missing: "&amp;IF($E300="","P ","")&amp;IF($G300="","T ","")&amp;IF($H300="","I ","")&amp;IF($I300="","C ","")&amp;IF(AND($N300="",COUNT($J300:$L300)&lt;3),"C_ctrl/C_ext/C_irr",""),IF(N($F300)&gt;$E300,"P_floor &gt; P (floor capped at P)","OK")))</f>
        <v/>
      </c>
      <c r="AC300" s="1" t="str">
        <f aca="false">IF($AA300="","",$AA300+ROW()/1000000)</f>
        <v/>
      </c>
      <c r="AD300" s="18" t="n">
        <f aca="false">IF(AND($A300&lt;&gt;"",ISNUMBER($AA300)),1,0)</f>
        <v>0</v>
      </c>
      <c r="AE300" s="18" t="n">
        <f aca="false">IF($AD300=1,$H300,0)</f>
        <v>0</v>
      </c>
      <c r="AF300" s="18" t="n">
        <f aca="false">IF($AD300=1,$E300,0)</f>
        <v>0</v>
      </c>
      <c r="AG300" s="18" t="n">
        <f aca="false">IF($AD300=1,MIN(N($F300),$E300),0)</f>
        <v>0</v>
      </c>
      <c r="AH300" s="18" t="n">
        <f aca="false">IF($AD300=1,$I300,0)</f>
        <v>0</v>
      </c>
      <c r="AI300" s="18" t="n">
        <f aca="false">IF($AD300=1,$G300,1)</f>
        <v>1</v>
      </c>
      <c r="AJ300" s="18" t="n">
        <f aca="false">IF($AD300=1,$V300,1)</f>
        <v>1</v>
      </c>
      <c r="AK300" s="18" t="n">
        <f aca="false">IF($AD300=1,$Y300,1)</f>
        <v>1</v>
      </c>
    </row>
    <row r="301" customFormat="false" ht="15" hidden="false" customHeight="false" outlineLevel="0" collapsed="false">
      <c r="A301" s="10"/>
      <c r="B301" s="10"/>
      <c r="C301" s="12"/>
      <c r="D301" s="17"/>
      <c r="E301" s="13"/>
      <c r="F301" s="21"/>
      <c r="G301" s="12"/>
      <c r="H301" s="12"/>
      <c r="I301" s="12"/>
      <c r="J301" s="12"/>
      <c r="K301" s="12"/>
      <c r="L301" s="12"/>
      <c r="M301" s="15"/>
      <c r="N301" s="15"/>
      <c r="O301" s="12"/>
      <c r="P301" s="17"/>
      <c r="Q301" s="22" t="str">
        <f aca="false">IF(OR($G301="",Setup!$B$5=""),"",Setup!$B$5/$G301)</f>
        <v/>
      </c>
      <c r="R301" s="23" t="str">
        <f aca="false">IF(OR($E301="",$Q301=""),"",1-(1-$E301)^$Q301)</f>
        <v/>
      </c>
      <c r="S301" s="22" t="str">
        <f aca="false">IF(OR($R301="",$H301=""),"",$H301*$R301)</f>
        <v/>
      </c>
      <c r="T301" s="23" t="str">
        <f aca="false">IF(OR($E301="",$I301=""),"",MIN(1,MIN(N($F301),$E301)+($E301-MIN(N($F301),$E301))*(1-$I301)))</f>
        <v/>
      </c>
      <c r="U301" s="23" t="str">
        <f aca="false">IF(OR($T301="",$Q301=""),"",1-(1-$T301)^$Q301)</f>
        <v/>
      </c>
      <c r="V301" s="23" t="str">
        <f aca="false">IF($M301&lt;&gt;"",$M301,IF($G301="","",MAX(1,(Setup!$B$6/$G301)^Setup!$B$7)))</f>
        <v/>
      </c>
      <c r="W301" s="22" t="str">
        <f aca="false">IF(COUNT($J301:$L301)&lt;3,"",Setup!$B$10*(6-$J301)+Setup!$B$11*$K301+Setup!$B$12*$L301)</f>
        <v/>
      </c>
      <c r="X301" s="23" t="str">
        <f aca="false">IF($W301="","",IF(LEFT(Setup!$B$15,1)="B",EXP(Setup!$B$14*($W301-1)),1+Setup!$B$14*($W301-1)))</f>
        <v/>
      </c>
      <c r="Y301" s="23" t="str">
        <f aca="false">IF($N301&lt;&gt;"",$N301,$X301)</f>
        <v/>
      </c>
      <c r="Z301" s="22" t="str">
        <f aca="false">IF(OR($H301="",$U301="",$V301=""),"",$H301*$U301*$V301)</f>
        <v/>
      </c>
      <c r="AA301" s="22" t="str">
        <f aca="false">IF(OR($Z301="",$Y301=""),"",$Z301*$Y301)</f>
        <v/>
      </c>
      <c r="AB301" s="1" t="str">
        <f aca="false">IF($A301="","",IF(OR($E301="",$G301="",$H301="",$I301="",AND($N301="",COUNT($J301:$L301)&lt;3)),"Missing: "&amp;IF($E301="","P ","")&amp;IF($G301="","T ","")&amp;IF($H301="","I ","")&amp;IF($I301="","C ","")&amp;IF(AND($N301="",COUNT($J301:$L301)&lt;3),"C_ctrl/C_ext/C_irr",""),IF(N($F301)&gt;$E301,"P_floor &gt; P (floor capped at P)","OK")))</f>
        <v/>
      </c>
      <c r="AC301" s="1" t="str">
        <f aca="false">IF($AA301="","",$AA301+ROW()/1000000)</f>
        <v/>
      </c>
      <c r="AD301" s="18" t="n">
        <f aca="false">IF(AND($A301&lt;&gt;"",ISNUMBER($AA301)),1,0)</f>
        <v>0</v>
      </c>
      <c r="AE301" s="18" t="n">
        <f aca="false">IF($AD301=1,$H301,0)</f>
        <v>0</v>
      </c>
      <c r="AF301" s="18" t="n">
        <f aca="false">IF($AD301=1,$E301,0)</f>
        <v>0</v>
      </c>
      <c r="AG301" s="18" t="n">
        <f aca="false">IF($AD301=1,MIN(N($F301),$E301),0)</f>
        <v>0</v>
      </c>
      <c r="AH301" s="18" t="n">
        <f aca="false">IF($AD301=1,$I301,0)</f>
        <v>0</v>
      </c>
      <c r="AI301" s="18" t="n">
        <f aca="false">IF($AD301=1,$G301,1)</f>
        <v>1</v>
      </c>
      <c r="AJ301" s="18" t="n">
        <f aca="false">IF($AD301=1,$V301,1)</f>
        <v>1</v>
      </c>
      <c r="AK301" s="18" t="n">
        <f aca="false">IF($AD301=1,$Y301,1)</f>
        <v>1</v>
      </c>
    </row>
  </sheetData>
  <sheetProtection sheet="true" password="CB7F"/>
  <conditionalFormatting sqref="AB2:AB301">
    <cfRule type="expression" priority="2" aboveAverage="0" equalAverage="0" bottom="0" percent="0" rank="0" text="" dxfId="0">
      <formula>LEFT($AB2,7)="Missing"</formula>
    </cfRule>
    <cfRule type="expression" priority="3" aboveAverage="0" equalAverage="0" bottom="0" percent="0" rank="0" text="" dxfId="1">
      <formula>LEFT($AB2,7)="P_floor"</formula>
    </cfRule>
    <cfRule type="expression" priority="4" aboveAverage="0" equalAverage="0" bottom="0" percent="0" rank="0" text="" dxfId="2">
      <formula>$AB2="OK"</formula>
    </cfRule>
  </conditionalFormatting>
  <dataValidations count="8">
    <dataValidation allowBlank="false" errorStyle="stop" operator="greaterThanOrEqual" showDropDown="false" showErrorMessage="false" showInputMessage="false" sqref="H2:H301" type="decimal">
      <formula1>0</formula1>
      <formula2>0</formula2>
    </dataValidation>
    <dataValidation allowBlank="false" errorStyle="stop" operator="between" showDropDown="false" showErrorMessage="false" showInputMessage="false" sqref="C2:C301" type="list">
      <formula1>Setup!$A$29:$A$34</formula1>
      <formula2>0</formula2>
    </dataValidation>
    <dataValidation allowBlank="false" errorStyle="stop" operator="between" showDropDown="false" showErrorMessage="false" showInputMessage="false" sqref="O2:O301" type="list">
      <formula1>Setup!$C$29:$C$30</formula1>
      <formula2>0</formula2>
    </dataValidation>
    <dataValidation allowBlank="false" error="P and P_floor must be between 0 and 1." errorStyle="stop" operator="between" showDropDown="false" showErrorMessage="true" showInputMessage="false" sqref="E2:F301" type="decimal">
      <formula1>0</formula1>
      <formula2>1</formula2>
    </dataValidation>
    <dataValidation allowBlank="false" error="T is a cycle length (&gt; 0) in the Setup time unit." errorStyle="stop" operator="greaterThan" showDropDown="false" showErrorMessage="true" showInputMessage="false" sqref="G2:G301" type="decimal">
      <formula1>0</formula1>
      <formula2>0</formula2>
    </dataValidation>
    <dataValidation allowBlank="false" error="C ≤ 1 (1 = maximum feasible reduction to P_floor; negative = governance that worsens the risk)." errorStyle="stop" operator="between" showDropDown="false" showErrorMessage="true" showInputMessage="false" sqref="I2:I301" type="decimal">
      <formula1>-1</formula1>
      <formula2>1</formula2>
    </dataValidation>
    <dataValidation allowBlank="false" error="Score 1–5." errorStyle="stop" operator="between" showDropDown="false" showErrorMessage="true" showInputMessage="false" sqref="J2:L301" type="whole">
      <formula1>1</formula1>
      <formula2>5</formula2>
    </dataValidation>
    <dataValidation allowBlank="false" error="τ ≥ 1 and TF ≥ 1 per the methodology." errorStyle="stop" operator="greaterThanOrEqual" showDropDown="false" showErrorMessage="true" showInputMessage="false" sqref="M2:N301" type="decimal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7"/>
    <col collapsed="false" customWidth="true" hidden="false" outlineLevel="0" max="8" min="8" style="1" width="3"/>
    <col collapsed="false" customWidth="true" hidden="false" outlineLevel="0" max="9" min="9" style="1" width="24"/>
    <col collapsed="false" customWidth="true" hidden="false" outlineLevel="0" max="10" min="10" style="1" width="12"/>
  </cols>
  <sheetData>
    <row r="1" customFormat="false" ht="19.7" hidden="false" customHeight="false" outlineLevel="0" collapsed="false">
      <c r="A1" s="2" t="s">
        <v>243</v>
      </c>
    </row>
    <row r="3" customFormat="false" ht="15" hidden="false" customHeight="false" outlineLevel="0" collapsed="false">
      <c r="A3" s="3" t="s">
        <v>244</v>
      </c>
      <c r="D3" s="3" t="s">
        <v>245</v>
      </c>
      <c r="I3" s="3" t="s">
        <v>246</v>
      </c>
    </row>
    <row r="4" customFormat="false" ht="15" hidden="false" customHeight="false" outlineLevel="0" collapsed="false">
      <c r="A4" s="24" t="s">
        <v>247</v>
      </c>
      <c r="B4" s="25" t="n">
        <f aca="false">SUMIF(Risk_Register!$AD$2:$AD$301,1,Risk_Register!$AA$2:$AA$301)</f>
        <v>0</v>
      </c>
      <c r="D4" s="6" t="s">
        <v>25</v>
      </c>
      <c r="E4" s="6" t="s">
        <v>143</v>
      </c>
      <c r="F4" s="6" t="s">
        <v>30</v>
      </c>
      <c r="G4" s="6" t="s">
        <v>89</v>
      </c>
      <c r="I4" s="6" t="s">
        <v>248</v>
      </c>
      <c r="J4" s="6" t="s">
        <v>249</v>
      </c>
    </row>
    <row r="5" customFormat="false" ht="15" hidden="false" customHeight="false" outlineLevel="0" collapsed="false">
      <c r="A5" s="24" t="s">
        <v>250</v>
      </c>
      <c r="B5" s="25" t="n">
        <f aca="false">Setup!B22</f>
        <v>100</v>
      </c>
      <c r="D5" s="1" t="str">
        <f aca="false">IFERROR(INDEX(Risk_Register!$B$2:$B$301,MATCH(LARGE(Risk_Register!$AC$2:$AC$301,1),Risk_Register!$AC$2:$AC$301,0)),"")</f>
        <v/>
      </c>
      <c r="E5" s="22" t="str">
        <f aca="false">IFERROR(INDEX(Risk_Register!$AA$2:$AA$301,MATCH(LARGE(Risk_Register!$AC$2:$AC$301,1),Risk_Register!$AC$2:$AC$301,0)),"")</f>
        <v/>
      </c>
      <c r="F5" s="1" t="str">
        <f aca="false">IFERROR(INDEX(Risk_Register!$C$2:$C$301,MATCH(LARGE(Risk_Register!$AC$2:$AC$301,1),Risk_Register!$AC$2:$AC$301,0)),"")</f>
        <v/>
      </c>
      <c r="G5" s="1" t="str">
        <f aca="false">IFERROR(INDEX(Risk_Register!$O$2:$O$301,MATCH(LARGE(Risk_Register!$AC$2:$AC$301,1),Risk_Register!$AC$2:$AC$301,0)),"")</f>
        <v/>
      </c>
      <c r="I5" s="26" t="s">
        <v>251</v>
      </c>
      <c r="J5" s="25" t="n">
        <f aca="false">SUMIFS(Risk_Register!$AA$2:$AA$301,Risk_Register!$O$2:$O$301,Setup!$C$29,Risk_Register!$AD$2:$AD$301,1)</f>
        <v>0</v>
      </c>
    </row>
    <row r="6" customFormat="false" ht="15" hidden="false" customHeight="false" outlineLevel="0" collapsed="false">
      <c r="A6" s="24" t="s">
        <v>252</v>
      </c>
      <c r="B6" s="25" t="n">
        <f aca="false">IF(OR(B5="",B5=0),"",B4/B5)</f>
        <v>0</v>
      </c>
      <c r="D6" s="1" t="str">
        <f aca="false">IFERROR(INDEX(Risk_Register!$B$2:$B$301,MATCH(LARGE(Risk_Register!$AC$2:$AC$301,2),Risk_Register!$AC$2:$AC$301,0)),"")</f>
        <v/>
      </c>
      <c r="E6" s="22" t="str">
        <f aca="false">IFERROR(INDEX(Risk_Register!$AA$2:$AA$301,MATCH(LARGE(Risk_Register!$AC$2:$AC$301,2),Risk_Register!$AC$2:$AC$301,0)),"")</f>
        <v/>
      </c>
      <c r="F6" s="1" t="str">
        <f aca="false">IFERROR(INDEX(Risk_Register!$C$2:$C$301,MATCH(LARGE(Risk_Register!$AC$2:$AC$301,2),Risk_Register!$AC$2:$AC$301,0)),"")</f>
        <v/>
      </c>
      <c r="G6" s="1" t="str">
        <f aca="false">IFERROR(INDEX(Risk_Register!$O$2:$O$301,MATCH(LARGE(Risk_Register!$AC$2:$AC$301,2),Risk_Register!$AC$2:$AC$301,0)),"")</f>
        <v/>
      </c>
      <c r="I6" s="26" t="s">
        <v>253</v>
      </c>
      <c r="J6" s="25" t="n">
        <f aca="false">SUMIFS(Risk_Register!$AA$2:$AA$301,Risk_Register!$O$2:$O$301,Setup!$C$30,Risk_Register!$AD$2:$AD$301,1)</f>
        <v>0</v>
      </c>
    </row>
    <row r="7" customFormat="false" ht="15" hidden="false" customHeight="false" outlineLevel="0" collapsed="false">
      <c r="A7" s="24" t="s">
        <v>254</v>
      </c>
      <c r="B7" s="27" t="str">
        <f aca="false">IF(B6="","",IF(B6&lt;=Setup!$B$25,"Green",IF(B6&lt;Setup!$B$26,"Yellow","Red")))</f>
        <v>Green</v>
      </c>
      <c r="D7" s="1" t="str">
        <f aca="false">IFERROR(INDEX(Risk_Register!$B$2:$B$301,MATCH(LARGE(Risk_Register!$AC$2:$AC$301,3),Risk_Register!$AC$2:$AC$301,0)),"")</f>
        <v/>
      </c>
      <c r="E7" s="22" t="str">
        <f aca="false">IFERROR(INDEX(Risk_Register!$AA$2:$AA$301,MATCH(LARGE(Risk_Register!$AC$2:$AC$301,3),Risk_Register!$AC$2:$AC$301,0)),"")</f>
        <v/>
      </c>
      <c r="F7" s="1" t="str">
        <f aca="false">IFERROR(INDEX(Risk_Register!$C$2:$C$301,MATCH(LARGE(Risk_Register!$AC$2:$AC$301,3),Risk_Register!$AC$2:$AC$301,0)),"")</f>
        <v/>
      </c>
      <c r="G7" s="1" t="str">
        <f aca="false">IFERROR(INDEX(Risk_Register!$O$2:$O$301,MATCH(LARGE(Risk_Register!$AC$2:$AC$301,3),Risk_Register!$AC$2:$AC$301,0)),"")</f>
        <v/>
      </c>
      <c r="I7" s="26" t="s">
        <v>255</v>
      </c>
      <c r="J7" s="28" t="str">
        <f aca="false">IF(OR($B$4="",$B$4=0),"",J5/$B$4)</f>
        <v/>
      </c>
    </row>
    <row r="8" customFormat="false" ht="15" hidden="false" customHeight="false" outlineLevel="0" collapsed="false">
      <c r="A8" s="24" t="s">
        <v>256</v>
      </c>
      <c r="B8" s="29" t="n">
        <f aca="false">SUM(Risk_Register!$AD$2:$AD$301)</f>
        <v>0</v>
      </c>
      <c r="D8" s="1" t="str">
        <f aca="false">IFERROR(INDEX(Risk_Register!$B$2:$B$301,MATCH(LARGE(Risk_Register!$AC$2:$AC$301,4),Risk_Register!$AC$2:$AC$301,0)),"")</f>
        <v/>
      </c>
      <c r="E8" s="22" t="str">
        <f aca="false">IFERROR(INDEX(Risk_Register!$AA$2:$AA$301,MATCH(LARGE(Risk_Register!$AC$2:$AC$301,4),Risk_Register!$AC$2:$AC$301,0)),"")</f>
        <v/>
      </c>
      <c r="F8" s="1" t="str">
        <f aca="false">IFERROR(INDEX(Risk_Register!$C$2:$C$301,MATCH(LARGE(Risk_Register!$AC$2:$AC$301,4),Risk_Register!$AC$2:$AC$301,0)),"")</f>
        <v/>
      </c>
      <c r="G8" s="1" t="str">
        <f aca="false">IFERROR(INDEX(Risk_Register!$O$2:$O$301,MATCH(LARGE(Risk_Register!$AC$2:$AC$301,4),Risk_Register!$AC$2:$AC$301,0)),"")</f>
        <v/>
      </c>
      <c r="I8" s="26" t="s">
        <v>257</v>
      </c>
      <c r="J8" s="29" t="n">
        <f aca="false">COUNTIFS(Risk_Register!$O$2:$O$301,Setup!$C$29,Risk_Register!$AD$2:$AD$301,1)</f>
        <v>0</v>
      </c>
    </row>
    <row r="9" customFormat="false" ht="15" hidden="false" customHeight="false" outlineLevel="0" collapsed="false">
      <c r="A9" s="24" t="s">
        <v>258</v>
      </c>
      <c r="B9" s="29" t="n">
        <f aca="false">COUNTIF(Risk_Register!$A$2:$A$301,"&lt;&gt;")-B8</f>
        <v>0</v>
      </c>
      <c r="D9" s="1" t="str">
        <f aca="false">IFERROR(INDEX(Risk_Register!$B$2:$B$301,MATCH(LARGE(Risk_Register!$AC$2:$AC$301,5),Risk_Register!$AC$2:$AC$301,0)),"")</f>
        <v/>
      </c>
      <c r="E9" s="22" t="str">
        <f aca="false">IFERROR(INDEX(Risk_Register!$AA$2:$AA$301,MATCH(LARGE(Risk_Register!$AC$2:$AC$301,5),Risk_Register!$AC$2:$AC$301,0)),"")</f>
        <v/>
      </c>
      <c r="F9" s="1" t="str">
        <f aca="false">IFERROR(INDEX(Risk_Register!$C$2:$C$301,MATCH(LARGE(Risk_Register!$AC$2:$AC$301,5),Risk_Register!$AC$2:$AC$301,0)),"")</f>
        <v/>
      </c>
      <c r="G9" s="1" t="str">
        <f aca="false">IFERROR(INDEX(Risk_Register!$O$2:$O$301,MATCH(LARGE(Risk_Register!$AC$2:$AC$301,5),Risk_Register!$AC$2:$AC$301,0)),"")</f>
        <v/>
      </c>
      <c r="I9" s="26" t="s">
        <v>259</v>
      </c>
      <c r="J9" s="29" t="n">
        <f aca="false">COUNTIF(G5:G14,Setup!$C$29)</f>
        <v>0</v>
      </c>
    </row>
    <row r="10" customFormat="false" ht="15" hidden="false" customHeight="false" outlineLevel="0" collapsed="false">
      <c r="A10" s="24" t="s">
        <v>174</v>
      </c>
      <c r="B10" s="26" t="str">
        <f aca="false">Setup!B5&amp;" "&amp;Setup!B4</f>
        <v>36 months</v>
      </c>
      <c r="D10" s="1" t="str">
        <f aca="false">IFERROR(INDEX(Risk_Register!$B$2:$B$301,MATCH(LARGE(Risk_Register!$AC$2:$AC$301,6),Risk_Register!$AC$2:$AC$301,0)),"")</f>
        <v/>
      </c>
      <c r="E10" s="22" t="str">
        <f aca="false">IFERROR(INDEX(Risk_Register!$AA$2:$AA$301,MATCH(LARGE(Risk_Register!$AC$2:$AC$301,6),Risk_Register!$AC$2:$AC$301,0)),"")</f>
        <v/>
      </c>
      <c r="F10" s="1" t="str">
        <f aca="false">IFERROR(INDEX(Risk_Register!$C$2:$C$301,MATCH(LARGE(Risk_Register!$AC$2:$AC$301,6),Risk_Register!$AC$2:$AC$301,0)),"")</f>
        <v/>
      </c>
      <c r="G10" s="1" t="str">
        <f aca="false">IFERROR(INDEX(Risk_Register!$O$2:$O$301,MATCH(LARGE(Risk_Register!$AC$2:$AC$301,6),Risk_Register!$AC$2:$AC$301,0)),"")</f>
        <v/>
      </c>
    </row>
    <row r="11" customFormat="false" ht="15" hidden="false" customHeight="true" outlineLevel="0" collapsed="false">
      <c r="A11" s="5" t="str">
        <f aca="false">"Status bands: Green ≤ "&amp;TEXT(Setup!B25,"0.00")&amp;" &lt; Yellow &lt; "&amp;TEXT(Setup!B26,"0.00")&amp;" ≤ Red (edit in Setup)."</f>
        <v>Status bands: Green ≤ 0.80 &lt; Yellow &lt; 1.00 ≤ Red (edit in Setup).</v>
      </c>
      <c r="D11" s="1" t="str">
        <f aca="false">IFERROR(INDEX(Risk_Register!$B$2:$B$301,MATCH(LARGE(Risk_Register!$AC$2:$AC$301,7),Risk_Register!$AC$2:$AC$301,0)),"")</f>
        <v/>
      </c>
      <c r="E11" s="22" t="str">
        <f aca="false">IFERROR(INDEX(Risk_Register!$AA$2:$AA$301,MATCH(LARGE(Risk_Register!$AC$2:$AC$301,7),Risk_Register!$AC$2:$AC$301,0)),"")</f>
        <v/>
      </c>
      <c r="F11" s="1" t="str">
        <f aca="false">IFERROR(INDEX(Risk_Register!$C$2:$C$301,MATCH(LARGE(Risk_Register!$AC$2:$AC$301,7),Risk_Register!$AC$2:$AC$301,0)),"")</f>
        <v/>
      </c>
      <c r="G11" s="1" t="str">
        <f aca="false">IFERROR(INDEX(Risk_Register!$O$2:$O$301,MATCH(LARGE(Risk_Register!$AC$2:$AC$301,7),Risk_Register!$AC$2:$AC$301,0)),"")</f>
        <v/>
      </c>
      <c r="I11" s="30" t="s">
        <v>260</v>
      </c>
      <c r="J11" s="30"/>
    </row>
    <row r="12" customFormat="false" ht="15" hidden="false" customHeight="false" outlineLevel="0" collapsed="false">
      <c r="D12" s="1" t="str">
        <f aca="false">IFERROR(INDEX(Risk_Register!$B$2:$B$301,MATCH(LARGE(Risk_Register!$AC$2:$AC$301,8),Risk_Register!$AC$2:$AC$301,0)),"")</f>
        <v/>
      </c>
      <c r="E12" s="22" t="str">
        <f aca="false">IFERROR(INDEX(Risk_Register!$AA$2:$AA$301,MATCH(LARGE(Risk_Register!$AC$2:$AC$301,8),Risk_Register!$AC$2:$AC$301,0)),"")</f>
        <v/>
      </c>
      <c r="F12" s="1" t="str">
        <f aca="false">IFERROR(INDEX(Risk_Register!$C$2:$C$301,MATCH(LARGE(Risk_Register!$AC$2:$AC$301,8),Risk_Register!$AC$2:$AC$301,0)),"")</f>
        <v/>
      </c>
      <c r="G12" s="1" t="str">
        <f aca="false">IFERROR(INDEX(Risk_Register!$O$2:$O$301,MATCH(LARGE(Risk_Register!$AC$2:$AC$301,8),Risk_Register!$AC$2:$AC$301,0)),"")</f>
        <v/>
      </c>
      <c r="I12" s="30"/>
      <c r="J12" s="30"/>
    </row>
    <row r="13" customFormat="false" ht="15" hidden="false" customHeight="false" outlineLevel="0" collapsed="false">
      <c r="A13" s="3" t="s">
        <v>261</v>
      </c>
      <c r="D13" s="1" t="str">
        <f aca="false">IFERROR(INDEX(Risk_Register!$B$2:$B$301,MATCH(LARGE(Risk_Register!$AC$2:$AC$301,9),Risk_Register!$AC$2:$AC$301,0)),"")</f>
        <v/>
      </c>
      <c r="E13" s="22" t="str">
        <f aca="false">IFERROR(INDEX(Risk_Register!$AA$2:$AA$301,MATCH(LARGE(Risk_Register!$AC$2:$AC$301,9),Risk_Register!$AC$2:$AC$301,0)),"")</f>
        <v/>
      </c>
      <c r="F13" s="1" t="str">
        <f aca="false">IFERROR(INDEX(Risk_Register!$C$2:$C$301,MATCH(LARGE(Risk_Register!$AC$2:$AC$301,9),Risk_Register!$AC$2:$AC$301,0)),"")</f>
        <v/>
      </c>
      <c r="G13" s="1" t="str">
        <f aca="false">IFERROR(INDEX(Risk_Register!$O$2:$O$301,MATCH(LARGE(Risk_Register!$AC$2:$AC$301,9),Risk_Register!$AC$2:$AC$301,0)),"")</f>
        <v/>
      </c>
      <c r="I13" s="30"/>
      <c r="J13" s="30"/>
    </row>
    <row r="14" customFormat="false" ht="15" hidden="false" customHeight="false" outlineLevel="0" collapsed="false">
      <c r="A14" s="6" t="s">
        <v>30</v>
      </c>
      <c r="B14" s="6" t="s">
        <v>262</v>
      </c>
      <c r="C14" s="6" t="s">
        <v>263</v>
      </c>
      <c r="D14" s="1" t="str">
        <f aca="false">IFERROR(INDEX(Risk_Register!$B$2:$B$301,MATCH(LARGE(Risk_Register!$AC$2:$AC$301,10),Risk_Register!$AC$2:$AC$301,0)),"")</f>
        <v/>
      </c>
      <c r="E14" s="22" t="str">
        <f aca="false">IFERROR(INDEX(Risk_Register!$AA$2:$AA$301,MATCH(LARGE(Risk_Register!$AC$2:$AC$301,10),Risk_Register!$AC$2:$AC$301,0)),"")</f>
        <v/>
      </c>
      <c r="F14" s="1" t="str">
        <f aca="false">IFERROR(INDEX(Risk_Register!$C$2:$C$301,MATCH(LARGE(Risk_Register!$AC$2:$AC$301,10),Risk_Register!$AC$2:$AC$301,0)),"")</f>
        <v/>
      </c>
      <c r="G14" s="1" t="str">
        <f aca="false">IFERROR(INDEX(Risk_Register!$O$2:$O$301,MATCH(LARGE(Risk_Register!$AC$2:$AC$301,10),Risk_Register!$AC$2:$AC$301,0)),"")</f>
        <v/>
      </c>
    </row>
    <row r="15" customFormat="false" ht="15" hidden="false" customHeight="false" outlineLevel="0" collapsed="false">
      <c r="A15" s="26" t="str">
        <f aca="false">Setup!A29</f>
        <v>Technology</v>
      </c>
      <c r="B15" s="22" t="n">
        <f aca="false">SUMIFS(Risk_Register!$AA$2:$AA$301,Risk_Register!$C$2:$C$301,$A15,Risk_Register!$AD$2:$AD$301,1)</f>
        <v>0</v>
      </c>
      <c r="C15" s="31" t="str">
        <f aca="false">IF(OR($B$4="",$B$4=0),"",B15/$B$4)</f>
        <v/>
      </c>
    </row>
    <row r="16" customFormat="false" ht="15" hidden="false" customHeight="false" outlineLevel="0" collapsed="false">
      <c r="A16" s="26" t="str">
        <f aca="false">Setup!A30</f>
        <v>Operations</v>
      </c>
      <c r="B16" s="22" t="n">
        <f aca="false">SUMIFS(Risk_Register!$AA$2:$AA$301,Risk_Register!$C$2:$C$301,$A16,Risk_Register!$AD$2:$AD$301,1)</f>
        <v>0</v>
      </c>
      <c r="C16" s="31" t="str">
        <f aca="false">IF(OR($B$4="",$B$4=0),"",B16/$B$4)</f>
        <v/>
      </c>
    </row>
    <row r="17" customFormat="false" ht="15" hidden="false" customHeight="false" outlineLevel="0" collapsed="false">
      <c r="A17" s="26" t="str">
        <f aca="false">Setup!A31</f>
        <v>Compliance</v>
      </c>
      <c r="B17" s="22" t="n">
        <f aca="false">SUMIFS(Risk_Register!$AA$2:$AA$301,Risk_Register!$C$2:$C$301,$A17,Risk_Register!$AD$2:$AD$301,1)</f>
        <v>0</v>
      </c>
      <c r="C17" s="31" t="str">
        <f aca="false">IF(OR($B$4="",$B$4=0),"",B17/$B$4)</f>
        <v/>
      </c>
    </row>
    <row r="18" customFormat="false" ht="15" hidden="false" customHeight="false" outlineLevel="0" collapsed="false">
      <c r="A18" s="26" t="str">
        <f aca="false">Setup!A32</f>
        <v>Security</v>
      </c>
      <c r="B18" s="22" t="n">
        <f aca="false">SUMIFS(Risk_Register!$AA$2:$AA$301,Risk_Register!$C$2:$C$301,$A18,Risk_Register!$AD$2:$AD$301,1)</f>
        <v>0</v>
      </c>
      <c r="C18" s="31" t="str">
        <f aca="false">IF(OR($B$4="",$B$4=0),"",B18/$B$4)</f>
        <v/>
      </c>
    </row>
    <row r="19" customFormat="false" ht="15" hidden="false" customHeight="false" outlineLevel="0" collapsed="false">
      <c r="A19" s="26" t="str">
        <f aca="false">Setup!A33</f>
        <v>Strategy</v>
      </c>
      <c r="B19" s="22" t="n">
        <f aca="false">SUMIFS(Risk_Register!$AA$2:$AA$301,Risk_Register!$C$2:$C$301,$A19,Risk_Register!$AD$2:$AD$301,1)</f>
        <v>0</v>
      </c>
      <c r="C19" s="31" t="str">
        <f aca="false">IF(OR($B$4="",$B$4=0),"",B19/$B$4)</f>
        <v/>
      </c>
    </row>
    <row r="20" customFormat="false" ht="15" hidden="false" customHeight="false" outlineLevel="0" collapsed="false">
      <c r="A20" s="26" t="str">
        <f aca="false">Setup!A34</f>
        <v>Supply Chain</v>
      </c>
      <c r="B20" s="22" t="n">
        <f aca="false">SUMIFS(Risk_Register!$AA$2:$AA$301,Risk_Register!$C$2:$C$301,$A20,Risk_Register!$AD$2:$AD$301,1)</f>
        <v>0</v>
      </c>
      <c r="C20" s="31" t="str">
        <f aca="false">IF(OR($B$4="",$B$4=0),"",B20/$B$4)</f>
        <v/>
      </c>
    </row>
  </sheetData>
  <sheetProtection sheet="true" password="CB7F"/>
  <mergeCells count="1">
    <mergeCell ref="I11:J13"/>
  </mergeCells>
  <conditionalFormatting sqref="B7">
    <cfRule type="expression" priority="2" aboveAverage="0" equalAverage="0" bottom="0" percent="0" rank="0" text="" dxfId="2">
      <formula>B7="Green"</formula>
    </cfRule>
    <cfRule type="expression" priority="3" aboveAverage="0" equalAverage="0" bottom="0" percent="0" rank="0" text="" dxfId="1">
      <formula>B7="Yellow"</formula>
    </cfRule>
    <cfRule type="expression" priority="4" aboveAverage="0" equalAverage="0" bottom="0" percent="0" rank="0" text="" dxfId="0">
      <formula>B7="Red"</formula>
    </cfRule>
  </conditionalFormatting>
  <conditionalFormatting sqref="B9"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19.7" hidden="false" customHeight="false" outlineLevel="0" collapsed="false">
      <c r="A1" s="2" t="s">
        <v>264</v>
      </c>
    </row>
    <row r="3" customFormat="false" ht="15" hidden="false" customHeight="false" outlineLevel="0" collapsed="false">
      <c r="A3" s="3" t="s">
        <v>265</v>
      </c>
    </row>
    <row r="4" customFormat="false" ht="84" hidden="false" customHeight="true" outlineLevel="0" collapsed="false">
      <c r="A4" s="19" t="s">
        <v>266</v>
      </c>
      <c r="B4" s="19"/>
      <c r="C4" s="19"/>
      <c r="D4" s="19"/>
      <c r="E4" s="19"/>
      <c r="F4" s="19"/>
      <c r="G4" s="19"/>
      <c r="H4" s="19"/>
      <c r="I4" s="19"/>
      <c r="J4" s="19"/>
    </row>
    <row r="6" customFormat="false" ht="15" hidden="false" customHeight="false" outlineLevel="0" collapsed="false">
      <c r="A6" s="3" t="s">
        <v>267</v>
      </c>
    </row>
    <row r="8" customFormat="false" ht="30" hidden="false" customHeight="true" outlineLevel="0" collapsed="false">
      <c r="A8" s="6" t="s">
        <v>268</v>
      </c>
      <c r="B8" s="6" t="s">
        <v>269</v>
      </c>
      <c r="C8" s="6" t="s">
        <v>270</v>
      </c>
      <c r="D8" s="6" t="s">
        <v>271</v>
      </c>
      <c r="E8" s="6" t="s">
        <v>272</v>
      </c>
      <c r="F8" s="6" t="s">
        <v>273</v>
      </c>
      <c r="G8" s="6" t="s">
        <v>274</v>
      </c>
      <c r="H8" s="6" t="s">
        <v>275</v>
      </c>
      <c r="I8" s="6" t="s">
        <v>276</v>
      </c>
      <c r="J8" s="6" t="s">
        <v>277</v>
      </c>
    </row>
    <row r="9" customFormat="false" ht="15" hidden="false" customHeight="false" outlineLevel="0" collapsed="false">
      <c r="A9" s="17" t="s">
        <v>278</v>
      </c>
      <c r="B9" s="12"/>
      <c r="C9" s="12" t="n">
        <v>0</v>
      </c>
      <c r="D9" s="12" t="n">
        <v>1</v>
      </c>
      <c r="E9" s="12" t="n">
        <v>1</v>
      </c>
      <c r="F9" s="12"/>
      <c r="G9" s="25" t="n">
        <f aca="false">SUMPRODUCT(Risk_Register!$AD$2:$AD$301,Risk_Register!$AE$2:$AE$301,1-(1-((((Risk_Register!$AG$2:$AG$301+(Risk_Register!$AF$2:$AF$301-Risk_Register!$AG$2:$AG$301)*(1-((Risk_Register!$AH$2:$AH$301+$C9)+1-ABS((Risk_Register!$AH$2:$AH$301+$C9)-1))/2)))+1-ABS(((Risk_Register!$AG$2:$AG$301+(Risk_Register!$AF$2:$AF$301-Risk_Register!$AG$2:$AG$301)*(1-((Risk_Register!$AH$2:$AH$301+$C9)+1-ABS((Risk_Register!$AH$2:$AH$301+$C9)-1))/2)))-1))/2))^(IF($F9="",Setup!$B$5,$F9)/Risk_Register!$AI$2:$AI$301),(Risk_Register!$AJ$2:$AJ$301*$D9+1+ABS(Risk_Register!$AJ$2:$AJ$301*$D9-1))/2,(Risk_Register!$AK$2:$AK$301*$E9+1+ABS(Risk_Register!$AK$2:$AK$301*$E9-1))/2)</f>
        <v>0</v>
      </c>
      <c r="H9" s="25" t="n">
        <f aca="false">IF(IF($B9="",Setup!$B$22,$B9)="","",$G9/IF($B9="",Setup!$B$22,$B9))</f>
        <v>0</v>
      </c>
      <c r="I9" s="32" t="str">
        <f aca="false">IF($H9="","",IF($H9&lt;=Setup!$B$25,"Green",IF($H9&lt;Setup!$B$26,"Yellow","Red")))</f>
        <v>Green</v>
      </c>
      <c r="J9" s="33"/>
    </row>
    <row r="10" customFormat="false" ht="15" hidden="false" customHeight="false" outlineLevel="0" collapsed="false">
      <c r="A10" s="17" t="s">
        <v>279</v>
      </c>
      <c r="B10" s="12"/>
      <c r="C10" s="12" t="n">
        <v>0.1</v>
      </c>
      <c r="D10" s="12" t="n">
        <v>1</v>
      </c>
      <c r="E10" s="12" t="n">
        <v>1</v>
      </c>
      <c r="F10" s="12"/>
      <c r="G10" s="25" t="n">
        <f aca="false">SUMPRODUCT(Risk_Register!$AD$2:$AD$301,Risk_Register!$AE$2:$AE$301,1-(1-((((Risk_Register!$AG$2:$AG$301+(Risk_Register!$AF$2:$AF$301-Risk_Register!$AG$2:$AG$301)*(1-((Risk_Register!$AH$2:$AH$301+$C10)+1-ABS((Risk_Register!$AH$2:$AH$301+$C10)-1))/2)))+1-ABS(((Risk_Register!$AG$2:$AG$301+(Risk_Register!$AF$2:$AF$301-Risk_Register!$AG$2:$AG$301)*(1-((Risk_Register!$AH$2:$AH$301+$C10)+1-ABS((Risk_Register!$AH$2:$AH$301+$C10)-1))/2)))-1))/2))^(IF($F10="",Setup!$B$5,$F10)/Risk_Register!$AI$2:$AI$301),(Risk_Register!$AJ$2:$AJ$301*$D10+1+ABS(Risk_Register!$AJ$2:$AJ$301*$D10-1))/2,(Risk_Register!$AK$2:$AK$301*$E10+1+ABS(Risk_Register!$AK$2:$AK$301*$E10-1))/2)</f>
        <v>0</v>
      </c>
      <c r="H10" s="25" t="n">
        <f aca="false">IF(IF($B10="",Setup!$B$22,$B10)="","",$G10/IF($B10="",Setup!$B$22,$B10))</f>
        <v>0</v>
      </c>
      <c r="I10" s="32" t="str">
        <f aca="false">IF($H10="","",IF($H10&lt;=Setup!$B$25,"Green",IF($H10&lt;Setup!$B$26,"Yellow","Red")))</f>
        <v>Green</v>
      </c>
      <c r="J10" s="33" t="n">
        <f aca="false">IF(OR($H10="",$H$9=""),"",$H10-$H$9)</f>
        <v>0</v>
      </c>
    </row>
    <row r="11" customFormat="false" ht="15" hidden="false" customHeight="false" outlineLevel="0" collapsed="false">
      <c r="A11" s="17" t="s">
        <v>280</v>
      </c>
      <c r="B11" s="12"/>
      <c r="C11" s="12" t="n">
        <v>0</v>
      </c>
      <c r="D11" s="12" t="n">
        <v>1.2</v>
      </c>
      <c r="E11" s="12" t="n">
        <v>1</v>
      </c>
      <c r="F11" s="12"/>
      <c r="G11" s="25" t="n">
        <f aca="false">SUMPRODUCT(Risk_Register!$AD$2:$AD$301,Risk_Register!$AE$2:$AE$301,1-(1-((((Risk_Register!$AG$2:$AG$301+(Risk_Register!$AF$2:$AF$301-Risk_Register!$AG$2:$AG$301)*(1-((Risk_Register!$AH$2:$AH$301+$C11)+1-ABS((Risk_Register!$AH$2:$AH$301+$C11)-1))/2)))+1-ABS(((Risk_Register!$AG$2:$AG$301+(Risk_Register!$AF$2:$AF$301-Risk_Register!$AG$2:$AG$301)*(1-((Risk_Register!$AH$2:$AH$301+$C11)+1-ABS((Risk_Register!$AH$2:$AH$301+$C11)-1))/2)))-1))/2))^(IF($F11="",Setup!$B$5,$F11)/Risk_Register!$AI$2:$AI$301),(Risk_Register!$AJ$2:$AJ$301*$D11+1+ABS(Risk_Register!$AJ$2:$AJ$301*$D11-1))/2,(Risk_Register!$AK$2:$AK$301*$E11+1+ABS(Risk_Register!$AK$2:$AK$301*$E11-1))/2)</f>
        <v>0</v>
      </c>
      <c r="H11" s="25" t="n">
        <f aca="false">IF(IF($B11="",Setup!$B$22,$B11)="","",$G11/IF($B11="",Setup!$B$22,$B11))</f>
        <v>0</v>
      </c>
      <c r="I11" s="32" t="str">
        <f aca="false">IF($H11="","",IF($H11&lt;=Setup!$B$25,"Green",IF($H11&lt;Setup!$B$26,"Yellow","Red")))</f>
        <v>Green</v>
      </c>
      <c r="J11" s="33" t="n">
        <f aca="false">IF(OR($H11="",$H$9=""),"",$H11-$H$9)</f>
        <v>0</v>
      </c>
    </row>
    <row r="12" customFormat="false" ht="15" hidden="false" customHeight="false" outlineLevel="0" collapsed="false">
      <c r="A12" s="17" t="s">
        <v>281</v>
      </c>
      <c r="B12" s="12"/>
      <c r="C12" s="12" t="n">
        <v>0</v>
      </c>
      <c r="D12" s="12" t="n">
        <v>1</v>
      </c>
      <c r="E12" s="12" t="n">
        <v>0.9</v>
      </c>
      <c r="F12" s="12"/>
      <c r="G12" s="25" t="n">
        <f aca="false">SUMPRODUCT(Risk_Register!$AD$2:$AD$301,Risk_Register!$AE$2:$AE$301,1-(1-((((Risk_Register!$AG$2:$AG$301+(Risk_Register!$AF$2:$AF$301-Risk_Register!$AG$2:$AG$301)*(1-((Risk_Register!$AH$2:$AH$301+$C12)+1-ABS((Risk_Register!$AH$2:$AH$301+$C12)-1))/2)))+1-ABS(((Risk_Register!$AG$2:$AG$301+(Risk_Register!$AF$2:$AF$301-Risk_Register!$AG$2:$AG$301)*(1-((Risk_Register!$AH$2:$AH$301+$C12)+1-ABS((Risk_Register!$AH$2:$AH$301+$C12)-1))/2)))-1))/2))^(IF($F12="",Setup!$B$5,$F12)/Risk_Register!$AI$2:$AI$301),(Risk_Register!$AJ$2:$AJ$301*$D12+1+ABS(Risk_Register!$AJ$2:$AJ$301*$D12-1))/2,(Risk_Register!$AK$2:$AK$301*$E12+1+ABS(Risk_Register!$AK$2:$AK$301*$E12-1))/2)</f>
        <v>0</v>
      </c>
      <c r="H12" s="25" t="n">
        <f aca="false">IF(IF($B12="",Setup!$B$22,$B12)="","",$G12/IF($B12="",Setup!$B$22,$B12))</f>
        <v>0</v>
      </c>
      <c r="I12" s="32" t="str">
        <f aca="false">IF($H12="","",IF($H12&lt;=Setup!$B$25,"Green",IF($H12&lt;Setup!$B$26,"Yellow","Red")))</f>
        <v>Green</v>
      </c>
      <c r="J12" s="33" t="n">
        <f aca="false">IF(OR($H12="",$H$9=""),"",$H12-$H$9)</f>
        <v>0</v>
      </c>
    </row>
    <row r="13" customFormat="false" ht="15" hidden="false" customHeight="false" outlineLevel="0" collapsed="false">
      <c r="A13" s="17" t="s">
        <v>282</v>
      </c>
      <c r="B13" s="12"/>
      <c r="C13" s="12" t="n">
        <v>0</v>
      </c>
      <c r="D13" s="12" t="n">
        <v>1</v>
      </c>
      <c r="E13" s="12" t="n">
        <v>1</v>
      </c>
      <c r="F13" s="12" t="n">
        <v>60</v>
      </c>
      <c r="G13" s="25" t="n">
        <f aca="false">SUMPRODUCT(Risk_Register!$AD$2:$AD$301,Risk_Register!$AE$2:$AE$301,1-(1-((((Risk_Register!$AG$2:$AG$301+(Risk_Register!$AF$2:$AF$301-Risk_Register!$AG$2:$AG$301)*(1-((Risk_Register!$AH$2:$AH$301+$C13)+1-ABS((Risk_Register!$AH$2:$AH$301+$C13)-1))/2)))+1-ABS(((Risk_Register!$AG$2:$AG$301+(Risk_Register!$AF$2:$AF$301-Risk_Register!$AG$2:$AG$301)*(1-((Risk_Register!$AH$2:$AH$301+$C13)+1-ABS((Risk_Register!$AH$2:$AH$301+$C13)-1))/2)))-1))/2))^(IF($F13="",Setup!$B$5,$F13)/Risk_Register!$AI$2:$AI$301),(Risk_Register!$AJ$2:$AJ$301*$D13+1+ABS(Risk_Register!$AJ$2:$AJ$301*$D13-1))/2,(Risk_Register!$AK$2:$AK$301*$E13+1+ABS(Risk_Register!$AK$2:$AK$301*$E13-1))/2)</f>
        <v>0</v>
      </c>
      <c r="H13" s="25" t="n">
        <f aca="false">IF(IF($B13="",Setup!$B$22,$B13)="","",$G13/IF($B13="",Setup!$B$22,$B13))</f>
        <v>0</v>
      </c>
      <c r="I13" s="32" t="str">
        <f aca="false">IF($H13="","",IF($H13&lt;=Setup!$B$25,"Green",IF($H13&lt;Setup!$B$26,"Yellow","Red")))</f>
        <v>Green</v>
      </c>
      <c r="J13" s="33" t="n">
        <f aca="false">IF(OR($H13="",$H$9=""),"",$H13-$H$9)</f>
        <v>0</v>
      </c>
    </row>
    <row r="15" customFormat="false" ht="15" hidden="false" customHeight="false" outlineLevel="0" collapsed="false">
      <c r="A15" s="5" t="s">
        <v>283</v>
      </c>
    </row>
    <row r="16" customFormat="false" ht="15" hidden="false" customHeight="false" outlineLevel="0" collapsed="false">
      <c r="A16" s="34" t="str">
        <f aca="false">IF(ABS(G9-Dashboard!B4)&lt;0.000001,"Base = Dashboard ✓","WARNING: Base ≠ Dashboard G — check register")</f>
        <v>Base = Dashboard ✓</v>
      </c>
    </row>
  </sheetData>
  <sheetProtection sheet="true" password="CB7F"/>
  <mergeCells count="1">
    <mergeCell ref="A4:J4"/>
  </mergeCells>
  <conditionalFormatting sqref="I9:I13">
    <cfRule type="expression" priority="2" aboveAverage="0" equalAverage="0" bottom="0" percent="0" rank="0" text="" dxfId="2">
      <formula>I9="Green"</formula>
    </cfRule>
    <cfRule type="expression" priority="3" aboveAverage="0" equalAverage="0" bottom="0" percent="0" rank="0" text="" dxfId="1">
      <formula>I9="Yellow"</formula>
    </cfRule>
    <cfRule type="expression" priority="4" aboveAverage="0" equalAverage="0" bottom="0" percent="0" rank="0" text="" dxfId="0">
      <formula>I9="Red"</formula>
    </cfRule>
  </conditionalFormatting>
  <dataValidations count="3">
    <dataValidation allowBlank="false" errorStyle="stop" operator="greaterThan" showDropDown="false" showErrorMessage="false" showInputMessage="false" sqref="B9:B13 F9:F13" type="decimal">
      <formula1>0</formula1>
      <formula2>0</formula2>
    </dataValidation>
    <dataValidation allowBlank="false" errorStyle="stop" operator="greaterThanOrEqual" showDropDown="false" showErrorMessage="false" showInputMessage="false" sqref="D9:E13" type="decimal">
      <formula1>0</formula1>
      <formula2>0</formula2>
    </dataValidation>
    <dataValidation allowBlank="false" errorStyle="stop" operator="between" showDropDown="false" showErrorMessage="false" showInputMessage="false" sqref="C9:C13" type="decimal">
      <formula1>-1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7"/>
    <col collapsed="false" customWidth="true" hidden="false" outlineLevel="0" max="8" min="7" style="1" width="10"/>
    <col collapsed="false" customWidth="true" hidden="true" outlineLevel="0" max="9" min="9" style="1" width="13"/>
  </cols>
  <sheetData>
    <row r="1" customFormat="false" ht="19.7" hidden="false" customHeight="false" outlineLevel="0" collapsed="false">
      <c r="A1" s="2" t="s">
        <v>284</v>
      </c>
    </row>
    <row r="3" customFormat="false" ht="15" hidden="false" customHeight="false" outlineLevel="0" collapsed="false">
      <c r="A3" s="3" t="s">
        <v>285</v>
      </c>
      <c r="D3" s="3" t="s">
        <v>286</v>
      </c>
    </row>
    <row r="4" customFormat="false" ht="15" hidden="false" customHeight="false" outlineLevel="0" collapsed="false">
      <c r="A4" s="24" t="s">
        <v>287</v>
      </c>
      <c r="B4" s="25" t="n">
        <f aca="false">Dashboard!B4</f>
        <v>0</v>
      </c>
      <c r="D4" s="6" t="s">
        <v>30</v>
      </c>
      <c r="E4" s="6" t="s">
        <v>262</v>
      </c>
    </row>
    <row r="5" customFormat="false" ht="15" hidden="false" customHeight="false" outlineLevel="0" collapsed="false">
      <c r="A5" s="24" t="s">
        <v>288</v>
      </c>
      <c r="B5" s="25" t="n">
        <f aca="false">Dashboard!B5</f>
        <v>100</v>
      </c>
      <c r="D5" s="1" t="str">
        <f aca="false">Setup!A29</f>
        <v>Technology</v>
      </c>
      <c r="E5" s="22" t="n">
        <f aca="false">SUMIFS(Risk_Register!$AA$2:$AA$301,Risk_Register!$C$2:$C$301,$D5,Risk_Register!$AD$2:$AD$301,1)</f>
        <v>0</v>
      </c>
    </row>
    <row r="6" customFormat="false" ht="15" hidden="false" customHeight="false" outlineLevel="0" collapsed="false">
      <c r="A6" s="24" t="s">
        <v>289</v>
      </c>
      <c r="B6" s="25" t="n">
        <f aca="false">Dashboard!B6</f>
        <v>0</v>
      </c>
      <c r="D6" s="1" t="str">
        <f aca="false">Setup!A30</f>
        <v>Operations</v>
      </c>
      <c r="E6" s="22" t="n">
        <f aca="false">SUMIFS(Risk_Register!$AA$2:$AA$301,Risk_Register!$C$2:$C$301,$D6,Risk_Register!$AD$2:$AD$301,1)</f>
        <v>0</v>
      </c>
    </row>
    <row r="7" customFormat="false" ht="15" hidden="false" customHeight="false" outlineLevel="0" collapsed="false">
      <c r="A7" s="24" t="s">
        <v>254</v>
      </c>
      <c r="B7" s="32" t="str">
        <f aca="false">Dashboard!B7</f>
        <v>Green</v>
      </c>
      <c r="D7" s="1" t="str">
        <f aca="false">Setup!A31</f>
        <v>Compliance</v>
      </c>
      <c r="E7" s="22" t="n">
        <f aca="false">SUMIFS(Risk_Register!$AA$2:$AA$301,Risk_Register!$C$2:$C$301,$D7,Risk_Register!$AD$2:$AD$301,1)</f>
        <v>0</v>
      </c>
    </row>
    <row r="8" customFormat="false" ht="15" hidden="false" customHeight="false" outlineLevel="0" collapsed="false">
      <c r="A8" s="24" t="s">
        <v>290</v>
      </c>
      <c r="B8" s="25" t="n">
        <f aca="false">Dashboard!J5</f>
        <v>0</v>
      </c>
      <c r="D8" s="1" t="str">
        <f aca="false">Setup!A32</f>
        <v>Security</v>
      </c>
      <c r="E8" s="22" t="n">
        <f aca="false">SUMIFS(Risk_Register!$AA$2:$AA$301,Risk_Register!$C$2:$C$301,$D8,Risk_Register!$AD$2:$AD$301,1)</f>
        <v>0</v>
      </c>
    </row>
    <row r="9" customFormat="false" ht="15" hidden="false" customHeight="false" outlineLevel="0" collapsed="false">
      <c r="A9" s="24" t="s">
        <v>255</v>
      </c>
      <c r="B9" s="28" t="str">
        <f aca="false">Dashboard!J7</f>
        <v/>
      </c>
      <c r="D9" s="1" t="str">
        <f aca="false">Setup!A33</f>
        <v>Strategy</v>
      </c>
      <c r="E9" s="22" t="n">
        <f aca="false">SUMIFS(Risk_Register!$AA$2:$AA$301,Risk_Register!$C$2:$C$301,$D9,Risk_Register!$AD$2:$AD$301,1)</f>
        <v>0</v>
      </c>
    </row>
    <row r="10" customFormat="false" ht="15" hidden="false" customHeight="false" outlineLevel="0" collapsed="false">
      <c r="D10" s="1" t="str">
        <f aca="false">Setup!A34</f>
        <v>Supply Chain</v>
      </c>
      <c r="E10" s="22" t="n">
        <f aca="false">SUMIFS(Risk_Register!$AA$2:$AA$301,Risk_Register!$C$2:$C$301,$D10,Risk_Register!$AD$2:$AD$301,1)</f>
        <v>0</v>
      </c>
    </row>
    <row r="12" customFormat="false" ht="15" hidden="false" customHeight="false" outlineLevel="0" collapsed="false">
      <c r="A12" s="3" t="s">
        <v>291</v>
      </c>
    </row>
    <row r="13" customFormat="false" ht="28.35" hidden="false" customHeight="false" outlineLevel="0" collapsed="false">
      <c r="A13" s="6" t="s">
        <v>292</v>
      </c>
      <c r="B13" s="6" t="s">
        <v>19</v>
      </c>
      <c r="C13" s="6" t="s">
        <v>25</v>
      </c>
      <c r="D13" s="6" t="s">
        <v>30</v>
      </c>
      <c r="E13" s="6" t="s">
        <v>143</v>
      </c>
      <c r="F13" s="6" t="s">
        <v>89</v>
      </c>
      <c r="G13" s="6" t="s">
        <v>139</v>
      </c>
      <c r="H13" s="6" t="s">
        <v>136</v>
      </c>
      <c r="I13" s="6" t="s">
        <v>293</v>
      </c>
    </row>
    <row r="14" customFormat="false" ht="15" hidden="false" customHeight="false" outlineLevel="0" collapsed="false">
      <c r="A14" s="1" t="n">
        <v>1</v>
      </c>
      <c r="B14" s="1" t="str">
        <f aca="false">IF($I14="","",INDEX(Risk_Register!$A$2:$A$301,MATCH($I14,Risk_Register!$AC$2:$AC$301,0)))</f>
        <v/>
      </c>
      <c r="C14" s="1" t="str">
        <f aca="false">IF($I14="","",INDEX(Risk_Register!$B$2:$B$301,MATCH($I14,Risk_Register!$AC$2:$AC$301,0)))</f>
        <v/>
      </c>
      <c r="D14" s="1" t="str">
        <f aca="false">IF($I14="","",INDEX(Risk_Register!$C$2:$C$301,MATCH($I14,Risk_Register!$AC$2:$AC$301,0)))</f>
        <v/>
      </c>
      <c r="E14" s="22" t="str">
        <f aca="false">IF($I14="","",INDEX(Risk_Register!$AA$2:$AA$301,MATCH($I14,Risk_Register!$AC$2:$AC$301,0)))</f>
        <v/>
      </c>
      <c r="F14" s="1" t="str">
        <f aca="false">IF($I14="","",INDEX(Risk_Register!$O$2:$O$301,MATCH($I14,Risk_Register!$AC$2:$AC$301,0)))</f>
        <v/>
      </c>
      <c r="G14" s="22" t="str">
        <f aca="false">IF($I14="","",INDEX(Risk_Register!$Z$2:$Z$301,MATCH($I14,Risk_Register!$AC$2:$AC$301,0)))</f>
        <v/>
      </c>
      <c r="H14" s="23" t="str">
        <f aca="false">IF($I14="","",INDEX(Risk_Register!$Y$2:$Y$301,MATCH($I14,Risk_Register!$AC$2:$AC$301,0)))</f>
        <v/>
      </c>
      <c r="I14" s="1" t="str">
        <f aca="false">IFERROR(LARGE(Risk_Register!$AC$2:$AC$301,1),"")</f>
        <v/>
      </c>
    </row>
    <row r="15" customFormat="false" ht="15" hidden="false" customHeight="false" outlineLevel="0" collapsed="false">
      <c r="A15" s="1" t="n">
        <v>2</v>
      </c>
      <c r="B15" s="1" t="str">
        <f aca="false">IF($I15="","",INDEX(Risk_Register!$A$2:$A$301,MATCH($I15,Risk_Register!$AC$2:$AC$301,0)))</f>
        <v/>
      </c>
      <c r="C15" s="1" t="str">
        <f aca="false">IF($I15="","",INDEX(Risk_Register!$B$2:$B$301,MATCH($I15,Risk_Register!$AC$2:$AC$301,0)))</f>
        <v/>
      </c>
      <c r="D15" s="1" t="str">
        <f aca="false">IF($I15="","",INDEX(Risk_Register!$C$2:$C$301,MATCH($I15,Risk_Register!$AC$2:$AC$301,0)))</f>
        <v/>
      </c>
      <c r="E15" s="22" t="str">
        <f aca="false">IF($I15="","",INDEX(Risk_Register!$AA$2:$AA$301,MATCH($I15,Risk_Register!$AC$2:$AC$301,0)))</f>
        <v/>
      </c>
      <c r="F15" s="1" t="str">
        <f aca="false">IF($I15="","",INDEX(Risk_Register!$O$2:$O$301,MATCH($I15,Risk_Register!$AC$2:$AC$301,0)))</f>
        <v/>
      </c>
      <c r="G15" s="22" t="str">
        <f aca="false">IF($I15="","",INDEX(Risk_Register!$Z$2:$Z$301,MATCH($I15,Risk_Register!$AC$2:$AC$301,0)))</f>
        <v/>
      </c>
      <c r="H15" s="23" t="str">
        <f aca="false">IF($I15="","",INDEX(Risk_Register!$Y$2:$Y$301,MATCH($I15,Risk_Register!$AC$2:$AC$301,0)))</f>
        <v/>
      </c>
      <c r="I15" s="1" t="str">
        <f aca="false">IFERROR(LARGE(Risk_Register!$AC$2:$AC$301,2),"")</f>
        <v/>
      </c>
    </row>
    <row r="16" customFormat="false" ht="15" hidden="false" customHeight="false" outlineLevel="0" collapsed="false">
      <c r="A16" s="1" t="n">
        <v>3</v>
      </c>
      <c r="B16" s="1" t="str">
        <f aca="false">IF($I16="","",INDEX(Risk_Register!$A$2:$A$301,MATCH($I16,Risk_Register!$AC$2:$AC$301,0)))</f>
        <v/>
      </c>
      <c r="C16" s="1" t="str">
        <f aca="false">IF($I16="","",INDEX(Risk_Register!$B$2:$B$301,MATCH($I16,Risk_Register!$AC$2:$AC$301,0)))</f>
        <v/>
      </c>
      <c r="D16" s="1" t="str">
        <f aca="false">IF($I16="","",INDEX(Risk_Register!$C$2:$C$301,MATCH($I16,Risk_Register!$AC$2:$AC$301,0)))</f>
        <v/>
      </c>
      <c r="E16" s="22" t="str">
        <f aca="false">IF($I16="","",INDEX(Risk_Register!$AA$2:$AA$301,MATCH($I16,Risk_Register!$AC$2:$AC$301,0)))</f>
        <v/>
      </c>
      <c r="F16" s="1" t="str">
        <f aca="false">IF($I16="","",INDEX(Risk_Register!$O$2:$O$301,MATCH($I16,Risk_Register!$AC$2:$AC$301,0)))</f>
        <v/>
      </c>
      <c r="G16" s="22" t="str">
        <f aca="false">IF($I16="","",INDEX(Risk_Register!$Z$2:$Z$301,MATCH($I16,Risk_Register!$AC$2:$AC$301,0)))</f>
        <v/>
      </c>
      <c r="H16" s="23" t="str">
        <f aca="false">IF($I16="","",INDEX(Risk_Register!$Y$2:$Y$301,MATCH($I16,Risk_Register!$AC$2:$AC$301,0)))</f>
        <v/>
      </c>
      <c r="I16" s="1" t="str">
        <f aca="false">IFERROR(LARGE(Risk_Register!$AC$2:$AC$301,3),"")</f>
        <v/>
      </c>
    </row>
    <row r="17" customFormat="false" ht="15" hidden="false" customHeight="false" outlineLevel="0" collapsed="false">
      <c r="A17" s="1" t="n">
        <v>4</v>
      </c>
      <c r="B17" s="1" t="str">
        <f aca="false">IF($I17="","",INDEX(Risk_Register!$A$2:$A$301,MATCH($I17,Risk_Register!$AC$2:$AC$301,0)))</f>
        <v/>
      </c>
      <c r="C17" s="1" t="str">
        <f aca="false">IF($I17="","",INDEX(Risk_Register!$B$2:$B$301,MATCH($I17,Risk_Register!$AC$2:$AC$301,0)))</f>
        <v/>
      </c>
      <c r="D17" s="1" t="str">
        <f aca="false">IF($I17="","",INDEX(Risk_Register!$C$2:$C$301,MATCH($I17,Risk_Register!$AC$2:$AC$301,0)))</f>
        <v/>
      </c>
      <c r="E17" s="22" t="str">
        <f aca="false">IF($I17="","",INDEX(Risk_Register!$AA$2:$AA$301,MATCH($I17,Risk_Register!$AC$2:$AC$301,0)))</f>
        <v/>
      </c>
      <c r="F17" s="1" t="str">
        <f aca="false">IF($I17="","",INDEX(Risk_Register!$O$2:$O$301,MATCH($I17,Risk_Register!$AC$2:$AC$301,0)))</f>
        <v/>
      </c>
      <c r="G17" s="22" t="str">
        <f aca="false">IF($I17="","",INDEX(Risk_Register!$Z$2:$Z$301,MATCH($I17,Risk_Register!$AC$2:$AC$301,0)))</f>
        <v/>
      </c>
      <c r="H17" s="23" t="str">
        <f aca="false">IF($I17="","",INDEX(Risk_Register!$Y$2:$Y$301,MATCH($I17,Risk_Register!$AC$2:$AC$301,0)))</f>
        <v/>
      </c>
      <c r="I17" s="1" t="str">
        <f aca="false">IFERROR(LARGE(Risk_Register!$AC$2:$AC$301,4),"")</f>
        <v/>
      </c>
    </row>
    <row r="18" customFormat="false" ht="15" hidden="false" customHeight="false" outlineLevel="0" collapsed="false">
      <c r="A18" s="1" t="n">
        <v>5</v>
      </c>
      <c r="B18" s="1" t="str">
        <f aca="false">IF($I18="","",INDEX(Risk_Register!$A$2:$A$301,MATCH($I18,Risk_Register!$AC$2:$AC$301,0)))</f>
        <v/>
      </c>
      <c r="C18" s="1" t="str">
        <f aca="false">IF($I18="","",INDEX(Risk_Register!$B$2:$B$301,MATCH($I18,Risk_Register!$AC$2:$AC$301,0)))</f>
        <v/>
      </c>
      <c r="D18" s="1" t="str">
        <f aca="false">IF($I18="","",INDEX(Risk_Register!$C$2:$C$301,MATCH($I18,Risk_Register!$AC$2:$AC$301,0)))</f>
        <v/>
      </c>
      <c r="E18" s="22" t="str">
        <f aca="false">IF($I18="","",INDEX(Risk_Register!$AA$2:$AA$301,MATCH($I18,Risk_Register!$AC$2:$AC$301,0)))</f>
        <v/>
      </c>
      <c r="F18" s="1" t="str">
        <f aca="false">IF($I18="","",INDEX(Risk_Register!$O$2:$O$301,MATCH($I18,Risk_Register!$AC$2:$AC$301,0)))</f>
        <v/>
      </c>
      <c r="G18" s="22" t="str">
        <f aca="false">IF($I18="","",INDEX(Risk_Register!$Z$2:$Z$301,MATCH($I18,Risk_Register!$AC$2:$AC$301,0)))</f>
        <v/>
      </c>
      <c r="H18" s="23" t="str">
        <f aca="false">IF($I18="","",INDEX(Risk_Register!$Y$2:$Y$301,MATCH($I18,Risk_Register!$AC$2:$AC$301,0)))</f>
        <v/>
      </c>
      <c r="I18" s="1" t="str">
        <f aca="false">IFERROR(LARGE(Risk_Register!$AC$2:$AC$301,5),"")</f>
        <v/>
      </c>
    </row>
    <row r="19" customFormat="false" ht="15" hidden="false" customHeight="false" outlineLevel="0" collapsed="false">
      <c r="A19" s="1" t="n">
        <v>6</v>
      </c>
      <c r="B19" s="1" t="str">
        <f aca="false">IF($I19="","",INDEX(Risk_Register!$A$2:$A$301,MATCH($I19,Risk_Register!$AC$2:$AC$301,0)))</f>
        <v/>
      </c>
      <c r="C19" s="1" t="str">
        <f aca="false">IF($I19="","",INDEX(Risk_Register!$B$2:$B$301,MATCH($I19,Risk_Register!$AC$2:$AC$301,0)))</f>
        <v/>
      </c>
      <c r="D19" s="1" t="str">
        <f aca="false">IF($I19="","",INDEX(Risk_Register!$C$2:$C$301,MATCH($I19,Risk_Register!$AC$2:$AC$301,0)))</f>
        <v/>
      </c>
      <c r="E19" s="22" t="str">
        <f aca="false">IF($I19="","",INDEX(Risk_Register!$AA$2:$AA$301,MATCH($I19,Risk_Register!$AC$2:$AC$301,0)))</f>
        <v/>
      </c>
      <c r="F19" s="1" t="str">
        <f aca="false">IF($I19="","",INDEX(Risk_Register!$O$2:$O$301,MATCH($I19,Risk_Register!$AC$2:$AC$301,0)))</f>
        <v/>
      </c>
      <c r="G19" s="22" t="str">
        <f aca="false">IF($I19="","",INDEX(Risk_Register!$Z$2:$Z$301,MATCH($I19,Risk_Register!$AC$2:$AC$301,0)))</f>
        <v/>
      </c>
      <c r="H19" s="23" t="str">
        <f aca="false">IF($I19="","",INDEX(Risk_Register!$Y$2:$Y$301,MATCH($I19,Risk_Register!$AC$2:$AC$301,0)))</f>
        <v/>
      </c>
      <c r="I19" s="1" t="str">
        <f aca="false">IFERROR(LARGE(Risk_Register!$AC$2:$AC$301,6),"")</f>
        <v/>
      </c>
    </row>
    <row r="20" customFormat="false" ht="15" hidden="false" customHeight="false" outlineLevel="0" collapsed="false">
      <c r="A20" s="1" t="n">
        <v>7</v>
      </c>
      <c r="B20" s="1" t="str">
        <f aca="false">IF($I20="","",INDEX(Risk_Register!$A$2:$A$301,MATCH($I20,Risk_Register!$AC$2:$AC$301,0)))</f>
        <v/>
      </c>
      <c r="C20" s="1" t="str">
        <f aca="false">IF($I20="","",INDEX(Risk_Register!$B$2:$B$301,MATCH($I20,Risk_Register!$AC$2:$AC$301,0)))</f>
        <v/>
      </c>
      <c r="D20" s="1" t="str">
        <f aca="false">IF($I20="","",INDEX(Risk_Register!$C$2:$C$301,MATCH($I20,Risk_Register!$AC$2:$AC$301,0)))</f>
        <v/>
      </c>
      <c r="E20" s="22" t="str">
        <f aca="false">IF($I20="","",INDEX(Risk_Register!$AA$2:$AA$301,MATCH($I20,Risk_Register!$AC$2:$AC$301,0)))</f>
        <v/>
      </c>
      <c r="F20" s="1" t="str">
        <f aca="false">IF($I20="","",INDEX(Risk_Register!$O$2:$O$301,MATCH($I20,Risk_Register!$AC$2:$AC$301,0)))</f>
        <v/>
      </c>
      <c r="G20" s="22" t="str">
        <f aca="false">IF($I20="","",INDEX(Risk_Register!$Z$2:$Z$301,MATCH($I20,Risk_Register!$AC$2:$AC$301,0)))</f>
        <v/>
      </c>
      <c r="H20" s="23" t="str">
        <f aca="false">IF($I20="","",INDEX(Risk_Register!$Y$2:$Y$301,MATCH($I20,Risk_Register!$AC$2:$AC$301,0)))</f>
        <v/>
      </c>
      <c r="I20" s="1" t="str">
        <f aca="false">IFERROR(LARGE(Risk_Register!$AC$2:$AC$301,7),"")</f>
        <v/>
      </c>
    </row>
    <row r="21" customFormat="false" ht="15" hidden="false" customHeight="false" outlineLevel="0" collapsed="false">
      <c r="A21" s="1" t="n">
        <v>8</v>
      </c>
      <c r="B21" s="1" t="str">
        <f aca="false">IF($I21="","",INDEX(Risk_Register!$A$2:$A$301,MATCH($I21,Risk_Register!$AC$2:$AC$301,0)))</f>
        <v/>
      </c>
      <c r="C21" s="1" t="str">
        <f aca="false">IF($I21="","",INDEX(Risk_Register!$B$2:$B$301,MATCH($I21,Risk_Register!$AC$2:$AC$301,0)))</f>
        <v/>
      </c>
      <c r="D21" s="1" t="str">
        <f aca="false">IF($I21="","",INDEX(Risk_Register!$C$2:$C$301,MATCH($I21,Risk_Register!$AC$2:$AC$301,0)))</f>
        <v/>
      </c>
      <c r="E21" s="22" t="str">
        <f aca="false">IF($I21="","",INDEX(Risk_Register!$AA$2:$AA$301,MATCH($I21,Risk_Register!$AC$2:$AC$301,0)))</f>
        <v/>
      </c>
      <c r="F21" s="1" t="str">
        <f aca="false">IF($I21="","",INDEX(Risk_Register!$O$2:$O$301,MATCH($I21,Risk_Register!$AC$2:$AC$301,0)))</f>
        <v/>
      </c>
      <c r="G21" s="22" t="str">
        <f aca="false">IF($I21="","",INDEX(Risk_Register!$Z$2:$Z$301,MATCH($I21,Risk_Register!$AC$2:$AC$301,0)))</f>
        <v/>
      </c>
      <c r="H21" s="23" t="str">
        <f aca="false">IF($I21="","",INDEX(Risk_Register!$Y$2:$Y$301,MATCH($I21,Risk_Register!$AC$2:$AC$301,0)))</f>
        <v/>
      </c>
      <c r="I21" s="1" t="str">
        <f aca="false">IFERROR(LARGE(Risk_Register!$AC$2:$AC$301,8),"")</f>
        <v/>
      </c>
    </row>
    <row r="22" customFormat="false" ht="15" hidden="false" customHeight="false" outlineLevel="0" collapsed="false">
      <c r="A22" s="1" t="n">
        <v>9</v>
      </c>
      <c r="B22" s="1" t="str">
        <f aca="false">IF($I22="","",INDEX(Risk_Register!$A$2:$A$301,MATCH($I22,Risk_Register!$AC$2:$AC$301,0)))</f>
        <v/>
      </c>
      <c r="C22" s="1" t="str">
        <f aca="false">IF($I22="","",INDEX(Risk_Register!$B$2:$B$301,MATCH($I22,Risk_Register!$AC$2:$AC$301,0)))</f>
        <v/>
      </c>
      <c r="D22" s="1" t="str">
        <f aca="false">IF($I22="","",INDEX(Risk_Register!$C$2:$C$301,MATCH($I22,Risk_Register!$AC$2:$AC$301,0)))</f>
        <v/>
      </c>
      <c r="E22" s="22" t="str">
        <f aca="false">IF($I22="","",INDEX(Risk_Register!$AA$2:$AA$301,MATCH($I22,Risk_Register!$AC$2:$AC$301,0)))</f>
        <v/>
      </c>
      <c r="F22" s="1" t="str">
        <f aca="false">IF($I22="","",INDEX(Risk_Register!$O$2:$O$301,MATCH($I22,Risk_Register!$AC$2:$AC$301,0)))</f>
        <v/>
      </c>
      <c r="G22" s="22" t="str">
        <f aca="false">IF($I22="","",INDEX(Risk_Register!$Z$2:$Z$301,MATCH($I22,Risk_Register!$AC$2:$AC$301,0)))</f>
        <v/>
      </c>
      <c r="H22" s="23" t="str">
        <f aca="false">IF($I22="","",INDEX(Risk_Register!$Y$2:$Y$301,MATCH($I22,Risk_Register!$AC$2:$AC$301,0)))</f>
        <v/>
      </c>
      <c r="I22" s="1" t="str">
        <f aca="false">IFERROR(LARGE(Risk_Register!$AC$2:$AC$301,9),"")</f>
        <v/>
      </c>
    </row>
    <row r="23" customFormat="false" ht="15" hidden="false" customHeight="false" outlineLevel="0" collapsed="false">
      <c r="A23" s="1" t="n">
        <v>10</v>
      </c>
      <c r="B23" s="1" t="str">
        <f aca="false">IF($I23="","",INDEX(Risk_Register!$A$2:$A$301,MATCH($I23,Risk_Register!$AC$2:$AC$301,0)))</f>
        <v/>
      </c>
      <c r="C23" s="1" t="str">
        <f aca="false">IF($I23="","",INDEX(Risk_Register!$B$2:$B$301,MATCH($I23,Risk_Register!$AC$2:$AC$301,0)))</f>
        <v/>
      </c>
      <c r="D23" s="1" t="str">
        <f aca="false">IF($I23="","",INDEX(Risk_Register!$C$2:$C$301,MATCH($I23,Risk_Register!$AC$2:$AC$301,0)))</f>
        <v/>
      </c>
      <c r="E23" s="22" t="str">
        <f aca="false">IF($I23="","",INDEX(Risk_Register!$AA$2:$AA$301,MATCH($I23,Risk_Register!$AC$2:$AC$301,0)))</f>
        <v/>
      </c>
      <c r="F23" s="1" t="str">
        <f aca="false">IF($I23="","",INDEX(Risk_Register!$O$2:$O$301,MATCH($I23,Risk_Register!$AC$2:$AC$301,0)))</f>
        <v/>
      </c>
      <c r="G23" s="22" t="str">
        <f aca="false">IF($I23="","",INDEX(Risk_Register!$Z$2:$Z$301,MATCH($I23,Risk_Register!$AC$2:$AC$301,0)))</f>
        <v/>
      </c>
      <c r="H23" s="23" t="str">
        <f aca="false">IF($I23="","",INDEX(Risk_Register!$Y$2:$Y$301,MATCH($I23,Risk_Register!$AC$2:$AC$301,0)))</f>
        <v/>
      </c>
      <c r="I23" s="1" t="str">
        <f aca="false">IFERROR(LARGE(Risk_Register!$AC$2:$AC$301,10),"")</f>
        <v/>
      </c>
    </row>
    <row r="24" customFormat="false" ht="15" hidden="false" customHeight="false" outlineLevel="0" collapsed="false">
      <c r="A24" s="1" t="n">
        <v>11</v>
      </c>
      <c r="B24" s="1" t="str">
        <f aca="false">IF($I24="","",INDEX(Risk_Register!$A$2:$A$301,MATCH($I24,Risk_Register!$AC$2:$AC$301,0)))</f>
        <v/>
      </c>
      <c r="C24" s="1" t="str">
        <f aca="false">IF($I24="","",INDEX(Risk_Register!$B$2:$B$301,MATCH($I24,Risk_Register!$AC$2:$AC$301,0)))</f>
        <v/>
      </c>
      <c r="D24" s="1" t="str">
        <f aca="false">IF($I24="","",INDEX(Risk_Register!$C$2:$C$301,MATCH($I24,Risk_Register!$AC$2:$AC$301,0)))</f>
        <v/>
      </c>
      <c r="E24" s="22" t="str">
        <f aca="false">IF($I24="","",INDEX(Risk_Register!$AA$2:$AA$301,MATCH($I24,Risk_Register!$AC$2:$AC$301,0)))</f>
        <v/>
      </c>
      <c r="F24" s="1" t="str">
        <f aca="false">IF($I24="","",INDEX(Risk_Register!$O$2:$O$301,MATCH($I24,Risk_Register!$AC$2:$AC$301,0)))</f>
        <v/>
      </c>
      <c r="G24" s="22" t="str">
        <f aca="false">IF($I24="","",INDEX(Risk_Register!$Z$2:$Z$301,MATCH($I24,Risk_Register!$AC$2:$AC$301,0)))</f>
        <v/>
      </c>
      <c r="H24" s="23" t="str">
        <f aca="false">IF($I24="","",INDEX(Risk_Register!$Y$2:$Y$301,MATCH($I24,Risk_Register!$AC$2:$AC$301,0)))</f>
        <v/>
      </c>
      <c r="I24" s="1" t="str">
        <f aca="false">IFERROR(LARGE(Risk_Register!$AC$2:$AC$301,11),"")</f>
        <v/>
      </c>
    </row>
    <row r="25" customFormat="false" ht="15" hidden="false" customHeight="false" outlineLevel="0" collapsed="false">
      <c r="A25" s="1" t="n">
        <v>12</v>
      </c>
      <c r="B25" s="1" t="str">
        <f aca="false">IF($I25="","",INDEX(Risk_Register!$A$2:$A$301,MATCH($I25,Risk_Register!$AC$2:$AC$301,0)))</f>
        <v/>
      </c>
      <c r="C25" s="1" t="str">
        <f aca="false">IF($I25="","",INDEX(Risk_Register!$B$2:$B$301,MATCH($I25,Risk_Register!$AC$2:$AC$301,0)))</f>
        <v/>
      </c>
      <c r="D25" s="1" t="str">
        <f aca="false">IF($I25="","",INDEX(Risk_Register!$C$2:$C$301,MATCH($I25,Risk_Register!$AC$2:$AC$301,0)))</f>
        <v/>
      </c>
      <c r="E25" s="22" t="str">
        <f aca="false">IF($I25="","",INDEX(Risk_Register!$AA$2:$AA$301,MATCH($I25,Risk_Register!$AC$2:$AC$301,0)))</f>
        <v/>
      </c>
      <c r="F25" s="1" t="str">
        <f aca="false">IF($I25="","",INDEX(Risk_Register!$O$2:$O$301,MATCH($I25,Risk_Register!$AC$2:$AC$301,0)))</f>
        <v/>
      </c>
      <c r="G25" s="22" t="str">
        <f aca="false">IF($I25="","",INDEX(Risk_Register!$Z$2:$Z$301,MATCH($I25,Risk_Register!$AC$2:$AC$301,0)))</f>
        <v/>
      </c>
      <c r="H25" s="23" t="str">
        <f aca="false">IF($I25="","",INDEX(Risk_Register!$Y$2:$Y$301,MATCH($I25,Risk_Register!$AC$2:$AC$301,0)))</f>
        <v/>
      </c>
      <c r="I25" s="1" t="str">
        <f aca="false">IFERROR(LARGE(Risk_Register!$AC$2:$AC$301,12),"")</f>
        <v/>
      </c>
    </row>
    <row r="26" customFormat="false" ht="15" hidden="false" customHeight="false" outlineLevel="0" collapsed="false">
      <c r="A26" s="1" t="n">
        <v>13</v>
      </c>
      <c r="B26" s="1" t="str">
        <f aca="false">IF($I26="","",INDEX(Risk_Register!$A$2:$A$301,MATCH($I26,Risk_Register!$AC$2:$AC$301,0)))</f>
        <v/>
      </c>
      <c r="C26" s="1" t="str">
        <f aca="false">IF($I26="","",INDEX(Risk_Register!$B$2:$B$301,MATCH($I26,Risk_Register!$AC$2:$AC$301,0)))</f>
        <v/>
      </c>
      <c r="D26" s="1" t="str">
        <f aca="false">IF($I26="","",INDEX(Risk_Register!$C$2:$C$301,MATCH($I26,Risk_Register!$AC$2:$AC$301,0)))</f>
        <v/>
      </c>
      <c r="E26" s="22" t="str">
        <f aca="false">IF($I26="","",INDEX(Risk_Register!$AA$2:$AA$301,MATCH($I26,Risk_Register!$AC$2:$AC$301,0)))</f>
        <v/>
      </c>
      <c r="F26" s="1" t="str">
        <f aca="false">IF($I26="","",INDEX(Risk_Register!$O$2:$O$301,MATCH($I26,Risk_Register!$AC$2:$AC$301,0)))</f>
        <v/>
      </c>
      <c r="G26" s="22" t="str">
        <f aca="false">IF($I26="","",INDEX(Risk_Register!$Z$2:$Z$301,MATCH($I26,Risk_Register!$AC$2:$AC$301,0)))</f>
        <v/>
      </c>
      <c r="H26" s="23" t="str">
        <f aca="false">IF($I26="","",INDEX(Risk_Register!$Y$2:$Y$301,MATCH($I26,Risk_Register!$AC$2:$AC$301,0)))</f>
        <v/>
      </c>
      <c r="I26" s="1" t="str">
        <f aca="false">IFERROR(LARGE(Risk_Register!$AC$2:$AC$301,13),"")</f>
        <v/>
      </c>
    </row>
    <row r="27" customFormat="false" ht="15" hidden="false" customHeight="false" outlineLevel="0" collapsed="false">
      <c r="A27" s="1" t="n">
        <v>14</v>
      </c>
      <c r="B27" s="1" t="str">
        <f aca="false">IF($I27="","",INDEX(Risk_Register!$A$2:$A$301,MATCH($I27,Risk_Register!$AC$2:$AC$301,0)))</f>
        <v/>
      </c>
      <c r="C27" s="1" t="str">
        <f aca="false">IF($I27="","",INDEX(Risk_Register!$B$2:$B$301,MATCH($I27,Risk_Register!$AC$2:$AC$301,0)))</f>
        <v/>
      </c>
      <c r="D27" s="1" t="str">
        <f aca="false">IF($I27="","",INDEX(Risk_Register!$C$2:$C$301,MATCH($I27,Risk_Register!$AC$2:$AC$301,0)))</f>
        <v/>
      </c>
      <c r="E27" s="22" t="str">
        <f aca="false">IF($I27="","",INDEX(Risk_Register!$AA$2:$AA$301,MATCH($I27,Risk_Register!$AC$2:$AC$301,0)))</f>
        <v/>
      </c>
      <c r="F27" s="1" t="str">
        <f aca="false">IF($I27="","",INDEX(Risk_Register!$O$2:$O$301,MATCH($I27,Risk_Register!$AC$2:$AC$301,0)))</f>
        <v/>
      </c>
      <c r="G27" s="22" t="str">
        <f aca="false">IF($I27="","",INDEX(Risk_Register!$Z$2:$Z$301,MATCH($I27,Risk_Register!$AC$2:$AC$301,0)))</f>
        <v/>
      </c>
      <c r="H27" s="23" t="str">
        <f aca="false">IF($I27="","",INDEX(Risk_Register!$Y$2:$Y$301,MATCH($I27,Risk_Register!$AC$2:$AC$301,0)))</f>
        <v/>
      </c>
      <c r="I27" s="1" t="str">
        <f aca="false">IFERROR(LARGE(Risk_Register!$AC$2:$AC$301,14),"")</f>
        <v/>
      </c>
    </row>
    <row r="28" customFormat="false" ht="15" hidden="false" customHeight="false" outlineLevel="0" collapsed="false">
      <c r="A28" s="1" t="n">
        <v>15</v>
      </c>
      <c r="B28" s="1" t="str">
        <f aca="false">IF($I28="","",INDEX(Risk_Register!$A$2:$A$301,MATCH($I28,Risk_Register!$AC$2:$AC$301,0)))</f>
        <v/>
      </c>
      <c r="C28" s="1" t="str">
        <f aca="false">IF($I28="","",INDEX(Risk_Register!$B$2:$B$301,MATCH($I28,Risk_Register!$AC$2:$AC$301,0)))</f>
        <v/>
      </c>
      <c r="D28" s="1" t="str">
        <f aca="false">IF($I28="","",INDEX(Risk_Register!$C$2:$C$301,MATCH($I28,Risk_Register!$AC$2:$AC$301,0)))</f>
        <v/>
      </c>
      <c r="E28" s="22" t="str">
        <f aca="false">IF($I28="","",INDEX(Risk_Register!$AA$2:$AA$301,MATCH($I28,Risk_Register!$AC$2:$AC$301,0)))</f>
        <v/>
      </c>
      <c r="F28" s="1" t="str">
        <f aca="false">IF($I28="","",INDEX(Risk_Register!$O$2:$O$301,MATCH($I28,Risk_Register!$AC$2:$AC$301,0)))</f>
        <v/>
      </c>
      <c r="G28" s="22" t="str">
        <f aca="false">IF($I28="","",INDEX(Risk_Register!$Z$2:$Z$301,MATCH($I28,Risk_Register!$AC$2:$AC$301,0)))</f>
        <v/>
      </c>
      <c r="H28" s="23" t="str">
        <f aca="false">IF($I28="","",INDEX(Risk_Register!$Y$2:$Y$301,MATCH($I28,Risk_Register!$AC$2:$AC$301,0)))</f>
        <v/>
      </c>
      <c r="I28" s="1" t="str">
        <f aca="false">IFERROR(LARGE(Risk_Register!$AC$2:$AC$301,15),"")</f>
        <v/>
      </c>
    </row>
    <row r="29" customFormat="false" ht="15" hidden="false" customHeight="false" outlineLevel="0" collapsed="false">
      <c r="A29" s="1" t="n">
        <v>16</v>
      </c>
      <c r="B29" s="1" t="str">
        <f aca="false">IF($I29="","",INDEX(Risk_Register!$A$2:$A$301,MATCH($I29,Risk_Register!$AC$2:$AC$301,0)))</f>
        <v/>
      </c>
      <c r="C29" s="1" t="str">
        <f aca="false">IF($I29="","",INDEX(Risk_Register!$B$2:$B$301,MATCH($I29,Risk_Register!$AC$2:$AC$301,0)))</f>
        <v/>
      </c>
      <c r="D29" s="1" t="str">
        <f aca="false">IF($I29="","",INDEX(Risk_Register!$C$2:$C$301,MATCH($I29,Risk_Register!$AC$2:$AC$301,0)))</f>
        <v/>
      </c>
      <c r="E29" s="22" t="str">
        <f aca="false">IF($I29="","",INDEX(Risk_Register!$AA$2:$AA$301,MATCH($I29,Risk_Register!$AC$2:$AC$301,0)))</f>
        <v/>
      </c>
      <c r="F29" s="1" t="str">
        <f aca="false">IF($I29="","",INDEX(Risk_Register!$O$2:$O$301,MATCH($I29,Risk_Register!$AC$2:$AC$301,0)))</f>
        <v/>
      </c>
      <c r="G29" s="22" t="str">
        <f aca="false">IF($I29="","",INDEX(Risk_Register!$Z$2:$Z$301,MATCH($I29,Risk_Register!$AC$2:$AC$301,0)))</f>
        <v/>
      </c>
      <c r="H29" s="23" t="str">
        <f aca="false">IF($I29="","",INDEX(Risk_Register!$Y$2:$Y$301,MATCH($I29,Risk_Register!$AC$2:$AC$301,0)))</f>
        <v/>
      </c>
      <c r="I29" s="1" t="str">
        <f aca="false">IFERROR(LARGE(Risk_Register!$AC$2:$AC$301,16),"")</f>
        <v/>
      </c>
    </row>
    <row r="30" customFormat="false" ht="15" hidden="false" customHeight="false" outlineLevel="0" collapsed="false">
      <c r="A30" s="1" t="n">
        <v>17</v>
      </c>
      <c r="B30" s="1" t="str">
        <f aca="false">IF($I30="","",INDEX(Risk_Register!$A$2:$A$301,MATCH($I30,Risk_Register!$AC$2:$AC$301,0)))</f>
        <v/>
      </c>
      <c r="C30" s="1" t="str">
        <f aca="false">IF($I30="","",INDEX(Risk_Register!$B$2:$B$301,MATCH($I30,Risk_Register!$AC$2:$AC$301,0)))</f>
        <v/>
      </c>
      <c r="D30" s="1" t="str">
        <f aca="false">IF($I30="","",INDEX(Risk_Register!$C$2:$C$301,MATCH($I30,Risk_Register!$AC$2:$AC$301,0)))</f>
        <v/>
      </c>
      <c r="E30" s="22" t="str">
        <f aca="false">IF($I30="","",INDEX(Risk_Register!$AA$2:$AA$301,MATCH($I30,Risk_Register!$AC$2:$AC$301,0)))</f>
        <v/>
      </c>
      <c r="F30" s="1" t="str">
        <f aca="false">IF($I30="","",INDEX(Risk_Register!$O$2:$O$301,MATCH($I30,Risk_Register!$AC$2:$AC$301,0)))</f>
        <v/>
      </c>
      <c r="G30" s="22" t="str">
        <f aca="false">IF($I30="","",INDEX(Risk_Register!$Z$2:$Z$301,MATCH($I30,Risk_Register!$AC$2:$AC$301,0)))</f>
        <v/>
      </c>
      <c r="H30" s="23" t="str">
        <f aca="false">IF($I30="","",INDEX(Risk_Register!$Y$2:$Y$301,MATCH($I30,Risk_Register!$AC$2:$AC$301,0)))</f>
        <v/>
      </c>
      <c r="I30" s="1" t="str">
        <f aca="false">IFERROR(LARGE(Risk_Register!$AC$2:$AC$301,17),"")</f>
        <v/>
      </c>
    </row>
    <row r="31" customFormat="false" ht="15" hidden="false" customHeight="false" outlineLevel="0" collapsed="false">
      <c r="A31" s="1" t="n">
        <v>18</v>
      </c>
      <c r="B31" s="1" t="str">
        <f aca="false">IF($I31="","",INDEX(Risk_Register!$A$2:$A$301,MATCH($I31,Risk_Register!$AC$2:$AC$301,0)))</f>
        <v/>
      </c>
      <c r="C31" s="1" t="str">
        <f aca="false">IF($I31="","",INDEX(Risk_Register!$B$2:$B$301,MATCH($I31,Risk_Register!$AC$2:$AC$301,0)))</f>
        <v/>
      </c>
      <c r="D31" s="1" t="str">
        <f aca="false">IF($I31="","",INDEX(Risk_Register!$C$2:$C$301,MATCH($I31,Risk_Register!$AC$2:$AC$301,0)))</f>
        <v/>
      </c>
      <c r="E31" s="22" t="str">
        <f aca="false">IF($I31="","",INDEX(Risk_Register!$AA$2:$AA$301,MATCH($I31,Risk_Register!$AC$2:$AC$301,0)))</f>
        <v/>
      </c>
      <c r="F31" s="1" t="str">
        <f aca="false">IF($I31="","",INDEX(Risk_Register!$O$2:$O$301,MATCH($I31,Risk_Register!$AC$2:$AC$301,0)))</f>
        <v/>
      </c>
      <c r="G31" s="22" t="str">
        <f aca="false">IF($I31="","",INDEX(Risk_Register!$Z$2:$Z$301,MATCH($I31,Risk_Register!$AC$2:$AC$301,0)))</f>
        <v/>
      </c>
      <c r="H31" s="23" t="str">
        <f aca="false">IF($I31="","",INDEX(Risk_Register!$Y$2:$Y$301,MATCH($I31,Risk_Register!$AC$2:$AC$301,0)))</f>
        <v/>
      </c>
      <c r="I31" s="1" t="str">
        <f aca="false">IFERROR(LARGE(Risk_Register!$AC$2:$AC$301,18),"")</f>
        <v/>
      </c>
    </row>
    <row r="32" customFormat="false" ht="15" hidden="false" customHeight="false" outlineLevel="0" collapsed="false">
      <c r="A32" s="1" t="n">
        <v>19</v>
      </c>
      <c r="B32" s="1" t="str">
        <f aca="false">IF($I32="","",INDEX(Risk_Register!$A$2:$A$301,MATCH($I32,Risk_Register!$AC$2:$AC$301,0)))</f>
        <v/>
      </c>
      <c r="C32" s="1" t="str">
        <f aca="false">IF($I32="","",INDEX(Risk_Register!$B$2:$B$301,MATCH($I32,Risk_Register!$AC$2:$AC$301,0)))</f>
        <v/>
      </c>
      <c r="D32" s="1" t="str">
        <f aca="false">IF($I32="","",INDEX(Risk_Register!$C$2:$C$301,MATCH($I32,Risk_Register!$AC$2:$AC$301,0)))</f>
        <v/>
      </c>
      <c r="E32" s="22" t="str">
        <f aca="false">IF($I32="","",INDEX(Risk_Register!$AA$2:$AA$301,MATCH($I32,Risk_Register!$AC$2:$AC$301,0)))</f>
        <v/>
      </c>
      <c r="F32" s="1" t="str">
        <f aca="false">IF($I32="","",INDEX(Risk_Register!$O$2:$O$301,MATCH($I32,Risk_Register!$AC$2:$AC$301,0)))</f>
        <v/>
      </c>
      <c r="G32" s="22" t="str">
        <f aca="false">IF($I32="","",INDEX(Risk_Register!$Z$2:$Z$301,MATCH($I32,Risk_Register!$AC$2:$AC$301,0)))</f>
        <v/>
      </c>
      <c r="H32" s="23" t="str">
        <f aca="false">IF($I32="","",INDEX(Risk_Register!$Y$2:$Y$301,MATCH($I32,Risk_Register!$AC$2:$AC$301,0)))</f>
        <v/>
      </c>
      <c r="I32" s="1" t="str">
        <f aca="false">IFERROR(LARGE(Risk_Register!$AC$2:$AC$301,19),"")</f>
        <v/>
      </c>
    </row>
    <row r="33" customFormat="false" ht="15" hidden="false" customHeight="false" outlineLevel="0" collapsed="false">
      <c r="A33" s="1" t="n">
        <v>20</v>
      </c>
      <c r="B33" s="1" t="str">
        <f aca="false">IF($I33="","",INDEX(Risk_Register!$A$2:$A$301,MATCH($I33,Risk_Register!$AC$2:$AC$301,0)))</f>
        <v/>
      </c>
      <c r="C33" s="1" t="str">
        <f aca="false">IF($I33="","",INDEX(Risk_Register!$B$2:$B$301,MATCH($I33,Risk_Register!$AC$2:$AC$301,0)))</f>
        <v/>
      </c>
      <c r="D33" s="1" t="str">
        <f aca="false">IF($I33="","",INDEX(Risk_Register!$C$2:$C$301,MATCH($I33,Risk_Register!$AC$2:$AC$301,0)))</f>
        <v/>
      </c>
      <c r="E33" s="22" t="str">
        <f aca="false">IF($I33="","",INDEX(Risk_Register!$AA$2:$AA$301,MATCH($I33,Risk_Register!$AC$2:$AC$301,0)))</f>
        <v/>
      </c>
      <c r="F33" s="1" t="str">
        <f aca="false">IF($I33="","",INDEX(Risk_Register!$O$2:$O$301,MATCH($I33,Risk_Register!$AC$2:$AC$301,0)))</f>
        <v/>
      </c>
      <c r="G33" s="22" t="str">
        <f aca="false">IF($I33="","",INDEX(Risk_Register!$Z$2:$Z$301,MATCH($I33,Risk_Register!$AC$2:$AC$301,0)))</f>
        <v/>
      </c>
      <c r="H33" s="23" t="str">
        <f aca="false">IF($I33="","",INDEX(Risk_Register!$Y$2:$Y$301,MATCH($I33,Risk_Register!$AC$2:$AC$301,0)))</f>
        <v/>
      </c>
      <c r="I33" s="1" t="str">
        <f aca="false">IFERROR(LARGE(Risk_Register!$AC$2:$AC$301,20),"")</f>
        <v/>
      </c>
    </row>
  </sheetData>
  <sheetProtection sheet="true" password="CB7F"/>
  <conditionalFormatting sqref="B7">
    <cfRule type="expression" priority="2" aboveAverage="0" equalAverage="0" bottom="0" percent="0" rank="0" text="" dxfId="2">
      <formula>B7="Green"</formula>
    </cfRule>
    <cfRule type="expression" priority="3" aboveAverage="0" equalAverage="0" bottom="0" percent="0" rank="0" text="" dxfId="1">
      <formula>B7="Yellow"</formula>
    </cfRule>
    <cfRule type="expression" priority="4" aboveAverage="0" equalAverage="0" bottom="0" percent="0" rank="0" text="" dxfId="0">
      <formula>B7="Red"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7" min="5" style="1" width="14"/>
    <col collapsed="false" customWidth="true" hidden="false" outlineLevel="0" max="8" min="8" style="1" width="34"/>
    <col collapsed="false" customWidth="true" hidden="false" outlineLevel="0" max="9" min="9" style="1" width="22"/>
  </cols>
  <sheetData>
    <row r="1" customFormat="false" ht="19.7" hidden="false" customHeight="false" outlineLevel="0" collapsed="false">
      <c r="A1" s="35" t="s">
        <v>294</v>
      </c>
    </row>
    <row r="3" customFormat="false" ht="60" hidden="false" customHeight="true" outlineLevel="0" collapsed="false">
      <c r="A3" s="36" t="s">
        <v>295</v>
      </c>
    </row>
    <row r="5" customFormat="false" ht="28.35" hidden="false" customHeight="false" outlineLevel="0" collapsed="false">
      <c r="A5" s="37" t="s">
        <v>296</v>
      </c>
      <c r="B5" s="37" t="s">
        <v>297</v>
      </c>
      <c r="C5" s="37" t="s">
        <v>298</v>
      </c>
      <c r="D5" s="37" t="s">
        <v>19</v>
      </c>
      <c r="E5" s="37" t="s">
        <v>13</v>
      </c>
      <c r="F5" s="37" t="s">
        <v>299</v>
      </c>
      <c r="G5" s="37" t="s">
        <v>300</v>
      </c>
      <c r="H5" s="37" t="s">
        <v>301</v>
      </c>
      <c r="I5" s="37" t="s">
        <v>302</v>
      </c>
    </row>
    <row r="6" customFormat="false" ht="15" hidden="false" customHeight="false" outlineLevel="0" collapsed="false">
      <c r="A6" s="38" t="str">
        <f aca="false">IF($D6="","",ROW()-5)</f>
        <v/>
      </c>
      <c r="B6" s="38" t="str">
        <f aca="true">IF($D6="","",NOW())</f>
        <v/>
      </c>
      <c r="C6" s="39"/>
      <c r="D6" s="39"/>
      <c r="E6" s="39"/>
      <c r="F6" s="39"/>
      <c r="G6" s="39"/>
      <c r="H6" s="40"/>
      <c r="I6" s="39"/>
    </row>
    <row r="7" customFormat="false" ht="15" hidden="false" customHeight="false" outlineLevel="0" collapsed="false">
      <c r="A7" s="38" t="str">
        <f aca="false">IF($D7="","",ROW()-5)</f>
        <v/>
      </c>
      <c r="B7" s="38" t="str">
        <f aca="true">IF($D7="","",NOW())</f>
        <v/>
      </c>
      <c r="C7" s="39"/>
      <c r="D7" s="39"/>
      <c r="E7" s="39"/>
      <c r="F7" s="39"/>
      <c r="G7" s="39"/>
      <c r="H7" s="40"/>
      <c r="I7" s="39"/>
    </row>
    <row r="8" customFormat="false" ht="15" hidden="false" customHeight="false" outlineLevel="0" collapsed="false">
      <c r="A8" s="38" t="str">
        <f aca="false">IF($D8="","",ROW()-5)</f>
        <v/>
      </c>
      <c r="B8" s="38" t="str">
        <f aca="true">IF($D8="","",NOW())</f>
        <v/>
      </c>
      <c r="C8" s="39"/>
      <c r="D8" s="39"/>
      <c r="E8" s="39"/>
      <c r="F8" s="39"/>
      <c r="G8" s="39"/>
      <c r="H8" s="40"/>
      <c r="I8" s="39"/>
    </row>
    <row r="9" customFormat="false" ht="15" hidden="false" customHeight="false" outlineLevel="0" collapsed="false">
      <c r="A9" s="38" t="str">
        <f aca="false">IF($D9="","",ROW()-5)</f>
        <v/>
      </c>
      <c r="B9" s="38" t="str">
        <f aca="true">IF($D9="","",NOW())</f>
        <v/>
      </c>
      <c r="C9" s="39"/>
      <c r="D9" s="39"/>
      <c r="E9" s="39"/>
      <c r="F9" s="39"/>
      <c r="G9" s="39"/>
      <c r="H9" s="40"/>
      <c r="I9" s="39"/>
    </row>
    <row r="10" customFormat="false" ht="15" hidden="false" customHeight="false" outlineLevel="0" collapsed="false">
      <c r="A10" s="38" t="str">
        <f aca="false">IF($D10="","",ROW()-5)</f>
        <v/>
      </c>
      <c r="B10" s="38" t="str">
        <f aca="true">IF($D10="","",NOW())</f>
        <v/>
      </c>
      <c r="C10" s="39"/>
      <c r="D10" s="39"/>
      <c r="E10" s="39"/>
      <c r="F10" s="39"/>
      <c r="G10" s="39"/>
      <c r="H10" s="40"/>
      <c r="I10" s="39"/>
    </row>
    <row r="11" customFormat="false" ht="15" hidden="false" customHeight="false" outlineLevel="0" collapsed="false">
      <c r="A11" s="38" t="str">
        <f aca="false">IF($D11="","",ROW()-5)</f>
        <v/>
      </c>
      <c r="B11" s="38" t="str">
        <f aca="true">IF($D11="","",NOW())</f>
        <v/>
      </c>
      <c r="C11" s="39"/>
      <c r="D11" s="39"/>
      <c r="E11" s="39"/>
      <c r="F11" s="39"/>
      <c r="G11" s="39"/>
      <c r="H11" s="40"/>
      <c r="I11" s="39"/>
    </row>
    <row r="12" customFormat="false" ht="15" hidden="false" customHeight="false" outlineLevel="0" collapsed="false">
      <c r="A12" s="38" t="str">
        <f aca="false">IF($D12="","",ROW()-5)</f>
        <v/>
      </c>
      <c r="B12" s="38" t="str">
        <f aca="true">IF($D12="","",NOW())</f>
        <v/>
      </c>
      <c r="C12" s="39"/>
      <c r="D12" s="39"/>
      <c r="E12" s="39"/>
      <c r="F12" s="39"/>
      <c r="G12" s="39"/>
      <c r="H12" s="40"/>
      <c r="I12" s="39"/>
    </row>
    <row r="13" customFormat="false" ht="15" hidden="false" customHeight="false" outlineLevel="0" collapsed="false">
      <c r="A13" s="38" t="str">
        <f aca="false">IF($D13="","",ROW()-5)</f>
        <v/>
      </c>
      <c r="B13" s="38" t="str">
        <f aca="true">IF($D13="","",NOW())</f>
        <v/>
      </c>
      <c r="C13" s="39"/>
      <c r="D13" s="39"/>
      <c r="E13" s="39"/>
      <c r="F13" s="39"/>
      <c r="G13" s="39"/>
      <c r="H13" s="40"/>
      <c r="I13" s="39"/>
    </row>
    <row r="14" customFormat="false" ht="15" hidden="false" customHeight="false" outlineLevel="0" collapsed="false">
      <c r="A14" s="38" t="str">
        <f aca="false">IF($D14="","",ROW()-5)</f>
        <v/>
      </c>
      <c r="B14" s="38" t="str">
        <f aca="true">IF($D14="","",NOW())</f>
        <v/>
      </c>
      <c r="C14" s="39"/>
      <c r="D14" s="39"/>
      <c r="E14" s="39"/>
      <c r="F14" s="39"/>
      <c r="G14" s="39"/>
      <c r="H14" s="40"/>
      <c r="I14" s="39"/>
    </row>
    <row r="15" customFormat="false" ht="15" hidden="false" customHeight="false" outlineLevel="0" collapsed="false">
      <c r="A15" s="38" t="str">
        <f aca="false">IF($D15="","",ROW()-5)</f>
        <v/>
      </c>
      <c r="B15" s="38" t="str">
        <f aca="true">IF($D15="","",NOW())</f>
        <v/>
      </c>
      <c r="C15" s="39"/>
      <c r="D15" s="39"/>
      <c r="E15" s="39"/>
      <c r="F15" s="39"/>
      <c r="G15" s="39"/>
      <c r="H15" s="40"/>
      <c r="I15" s="39"/>
    </row>
    <row r="16" customFormat="false" ht="15" hidden="false" customHeight="false" outlineLevel="0" collapsed="false">
      <c r="A16" s="38" t="str">
        <f aca="false">IF($D16="","",ROW()-5)</f>
        <v/>
      </c>
      <c r="B16" s="38" t="str">
        <f aca="true">IF($D16="","",NOW())</f>
        <v/>
      </c>
      <c r="C16" s="39"/>
      <c r="D16" s="39"/>
      <c r="E16" s="39"/>
      <c r="F16" s="39"/>
      <c r="G16" s="39"/>
      <c r="H16" s="40"/>
      <c r="I16" s="39"/>
    </row>
    <row r="17" customFormat="false" ht="15" hidden="false" customHeight="false" outlineLevel="0" collapsed="false">
      <c r="A17" s="38" t="str">
        <f aca="false">IF($D17="","",ROW()-5)</f>
        <v/>
      </c>
      <c r="B17" s="38" t="str">
        <f aca="true">IF($D17="","",NOW())</f>
        <v/>
      </c>
      <c r="C17" s="39"/>
      <c r="D17" s="39"/>
      <c r="E17" s="39"/>
      <c r="F17" s="39"/>
      <c r="G17" s="39"/>
      <c r="H17" s="40"/>
      <c r="I17" s="39"/>
    </row>
    <row r="18" customFormat="false" ht="15" hidden="false" customHeight="false" outlineLevel="0" collapsed="false">
      <c r="A18" s="38" t="str">
        <f aca="false">IF($D18="","",ROW()-5)</f>
        <v/>
      </c>
      <c r="B18" s="38" t="str">
        <f aca="true">IF($D18="","",NOW())</f>
        <v/>
      </c>
      <c r="C18" s="39"/>
      <c r="D18" s="39"/>
      <c r="E18" s="39"/>
      <c r="F18" s="39"/>
      <c r="G18" s="39"/>
      <c r="H18" s="40"/>
      <c r="I18" s="39"/>
    </row>
    <row r="19" customFormat="false" ht="15" hidden="false" customHeight="false" outlineLevel="0" collapsed="false">
      <c r="A19" s="38" t="str">
        <f aca="false">IF($D19="","",ROW()-5)</f>
        <v/>
      </c>
      <c r="B19" s="38" t="str">
        <f aca="true">IF($D19="","",NOW())</f>
        <v/>
      </c>
      <c r="C19" s="39"/>
      <c r="D19" s="39"/>
      <c r="E19" s="39"/>
      <c r="F19" s="39"/>
      <c r="G19" s="39"/>
      <c r="H19" s="40"/>
      <c r="I19" s="39"/>
    </row>
    <row r="20" customFormat="false" ht="15" hidden="false" customHeight="false" outlineLevel="0" collapsed="false">
      <c r="A20" s="38" t="str">
        <f aca="false">IF($D20="","",ROW()-5)</f>
        <v/>
      </c>
      <c r="B20" s="38" t="str">
        <f aca="true">IF($D20="","",NOW())</f>
        <v/>
      </c>
      <c r="C20" s="39"/>
      <c r="D20" s="39"/>
      <c r="E20" s="39"/>
      <c r="F20" s="39"/>
      <c r="G20" s="39"/>
      <c r="H20" s="40"/>
      <c r="I20" s="39"/>
    </row>
    <row r="21" customFormat="false" ht="15" hidden="false" customHeight="false" outlineLevel="0" collapsed="false">
      <c r="A21" s="38" t="str">
        <f aca="false">IF($D21="","",ROW()-5)</f>
        <v/>
      </c>
      <c r="B21" s="38" t="str">
        <f aca="true">IF($D21="","",NOW())</f>
        <v/>
      </c>
      <c r="C21" s="39"/>
      <c r="D21" s="39"/>
      <c r="E21" s="39"/>
      <c r="F21" s="39"/>
      <c r="G21" s="39"/>
      <c r="H21" s="40"/>
      <c r="I21" s="39"/>
    </row>
    <row r="22" customFormat="false" ht="15" hidden="false" customHeight="false" outlineLevel="0" collapsed="false">
      <c r="A22" s="38" t="str">
        <f aca="false">IF($D22="","",ROW()-5)</f>
        <v/>
      </c>
      <c r="B22" s="38" t="str">
        <f aca="true">IF($D22="","",NOW())</f>
        <v/>
      </c>
      <c r="C22" s="39"/>
      <c r="D22" s="39"/>
      <c r="E22" s="39"/>
      <c r="F22" s="39"/>
      <c r="G22" s="39"/>
      <c r="H22" s="40"/>
      <c r="I22" s="39"/>
    </row>
    <row r="23" customFormat="false" ht="15" hidden="false" customHeight="false" outlineLevel="0" collapsed="false">
      <c r="A23" s="38" t="str">
        <f aca="false">IF($D23="","",ROW()-5)</f>
        <v/>
      </c>
      <c r="B23" s="38" t="str">
        <f aca="true">IF($D23="","",NOW())</f>
        <v/>
      </c>
      <c r="C23" s="39"/>
      <c r="D23" s="39"/>
      <c r="E23" s="39"/>
      <c r="F23" s="39"/>
      <c r="G23" s="39"/>
      <c r="H23" s="40"/>
      <c r="I23" s="39"/>
    </row>
    <row r="24" customFormat="false" ht="15" hidden="false" customHeight="false" outlineLevel="0" collapsed="false">
      <c r="A24" s="38" t="str">
        <f aca="false">IF($D24="","",ROW()-5)</f>
        <v/>
      </c>
      <c r="B24" s="38" t="str">
        <f aca="true">IF($D24="","",NOW())</f>
        <v/>
      </c>
      <c r="C24" s="39"/>
      <c r="D24" s="39"/>
      <c r="E24" s="39"/>
      <c r="F24" s="39"/>
      <c r="G24" s="39"/>
      <c r="H24" s="40"/>
      <c r="I24" s="39"/>
    </row>
    <row r="25" customFormat="false" ht="15" hidden="false" customHeight="false" outlineLevel="0" collapsed="false">
      <c r="A25" s="38" t="str">
        <f aca="false">IF($D25="","",ROW()-5)</f>
        <v/>
      </c>
      <c r="B25" s="38" t="str">
        <f aca="true">IF($D25="","",NOW())</f>
        <v/>
      </c>
      <c r="C25" s="39"/>
      <c r="D25" s="39"/>
      <c r="E25" s="39"/>
      <c r="F25" s="39"/>
      <c r="G25" s="39"/>
      <c r="H25" s="40"/>
      <c r="I25" s="39"/>
    </row>
    <row r="26" customFormat="false" ht="15" hidden="false" customHeight="false" outlineLevel="0" collapsed="false">
      <c r="A26" s="38" t="str">
        <f aca="false">IF($D26="","",ROW()-5)</f>
        <v/>
      </c>
      <c r="B26" s="38" t="str">
        <f aca="true">IF($D26="","",NOW())</f>
        <v/>
      </c>
      <c r="C26" s="39"/>
      <c r="D26" s="39"/>
      <c r="E26" s="39"/>
      <c r="F26" s="39"/>
      <c r="G26" s="39"/>
      <c r="H26" s="40"/>
      <c r="I26" s="39"/>
    </row>
    <row r="27" customFormat="false" ht="15" hidden="false" customHeight="false" outlineLevel="0" collapsed="false">
      <c r="A27" s="38" t="str">
        <f aca="false">IF($D27="","",ROW()-5)</f>
        <v/>
      </c>
      <c r="B27" s="38" t="str">
        <f aca="true">IF($D27="","",NOW())</f>
        <v/>
      </c>
      <c r="C27" s="39"/>
      <c r="D27" s="39"/>
      <c r="E27" s="39"/>
      <c r="F27" s="39"/>
      <c r="G27" s="39"/>
      <c r="H27" s="40"/>
      <c r="I27" s="39"/>
    </row>
    <row r="28" customFormat="false" ht="15" hidden="false" customHeight="false" outlineLevel="0" collapsed="false">
      <c r="A28" s="38" t="str">
        <f aca="false">IF($D28="","",ROW()-5)</f>
        <v/>
      </c>
      <c r="B28" s="38" t="str">
        <f aca="true">IF($D28="","",NOW())</f>
        <v/>
      </c>
      <c r="C28" s="39"/>
      <c r="D28" s="39"/>
      <c r="E28" s="39"/>
      <c r="F28" s="39"/>
      <c r="G28" s="39"/>
      <c r="H28" s="40"/>
      <c r="I28" s="39"/>
    </row>
    <row r="29" customFormat="false" ht="15" hidden="false" customHeight="false" outlineLevel="0" collapsed="false">
      <c r="A29" s="38" t="str">
        <f aca="false">IF($D29="","",ROW()-5)</f>
        <v/>
      </c>
      <c r="B29" s="38" t="str">
        <f aca="true">IF($D29="","",NOW())</f>
        <v/>
      </c>
      <c r="C29" s="39"/>
      <c r="D29" s="39"/>
      <c r="E29" s="39"/>
      <c r="F29" s="39"/>
      <c r="G29" s="39"/>
      <c r="H29" s="40"/>
      <c r="I29" s="39"/>
    </row>
    <row r="30" customFormat="false" ht="15" hidden="false" customHeight="false" outlineLevel="0" collapsed="false">
      <c r="A30" s="38" t="str">
        <f aca="false">IF($D30="","",ROW()-5)</f>
        <v/>
      </c>
      <c r="B30" s="38" t="str">
        <f aca="true">IF($D30="","",NOW())</f>
        <v/>
      </c>
      <c r="C30" s="39"/>
      <c r="D30" s="39"/>
      <c r="E30" s="39"/>
      <c r="F30" s="39"/>
      <c r="G30" s="39"/>
      <c r="H30" s="40"/>
      <c r="I30" s="39"/>
    </row>
    <row r="31" customFormat="false" ht="15" hidden="false" customHeight="false" outlineLevel="0" collapsed="false">
      <c r="A31" s="38" t="str">
        <f aca="false">IF($D31="","",ROW()-5)</f>
        <v/>
      </c>
      <c r="B31" s="38" t="str">
        <f aca="true">IF($D31="","",NOW())</f>
        <v/>
      </c>
      <c r="C31" s="39"/>
      <c r="D31" s="39"/>
      <c r="E31" s="39"/>
      <c r="F31" s="39"/>
      <c r="G31" s="39"/>
      <c r="H31" s="40"/>
      <c r="I31" s="39"/>
    </row>
    <row r="32" customFormat="false" ht="15" hidden="false" customHeight="false" outlineLevel="0" collapsed="false">
      <c r="A32" s="38" t="str">
        <f aca="false">IF($D32="","",ROW()-5)</f>
        <v/>
      </c>
      <c r="B32" s="38" t="str">
        <f aca="true">IF($D32="","",NOW())</f>
        <v/>
      </c>
      <c r="C32" s="39"/>
      <c r="D32" s="39"/>
      <c r="E32" s="39"/>
      <c r="F32" s="39"/>
      <c r="G32" s="39"/>
      <c r="H32" s="40"/>
      <c r="I32" s="39"/>
    </row>
    <row r="33" customFormat="false" ht="15" hidden="false" customHeight="false" outlineLevel="0" collapsed="false">
      <c r="A33" s="38" t="str">
        <f aca="false">IF($D33="","",ROW()-5)</f>
        <v/>
      </c>
      <c r="B33" s="38" t="str">
        <f aca="true">IF($D33="","",NOW())</f>
        <v/>
      </c>
      <c r="C33" s="39"/>
      <c r="D33" s="39"/>
      <c r="E33" s="39"/>
      <c r="F33" s="39"/>
      <c r="G33" s="39"/>
      <c r="H33" s="40"/>
      <c r="I33" s="39"/>
    </row>
    <row r="34" customFormat="false" ht="15" hidden="false" customHeight="false" outlineLevel="0" collapsed="false">
      <c r="A34" s="38" t="str">
        <f aca="false">IF($D34="","",ROW()-5)</f>
        <v/>
      </c>
      <c r="B34" s="38" t="str">
        <f aca="true">IF($D34="","",NOW())</f>
        <v/>
      </c>
      <c r="C34" s="39"/>
      <c r="D34" s="39"/>
      <c r="E34" s="39"/>
      <c r="F34" s="39"/>
      <c r="G34" s="39"/>
      <c r="H34" s="40"/>
      <c r="I34" s="39"/>
    </row>
    <row r="35" customFormat="false" ht="15" hidden="false" customHeight="false" outlineLevel="0" collapsed="false">
      <c r="A35" s="38" t="str">
        <f aca="false">IF($D35="","",ROW()-5)</f>
        <v/>
      </c>
      <c r="B35" s="38" t="str">
        <f aca="true">IF($D35="","",NOW())</f>
        <v/>
      </c>
      <c r="C35" s="39"/>
      <c r="D35" s="39"/>
      <c r="E35" s="39"/>
      <c r="F35" s="39"/>
      <c r="G35" s="39"/>
      <c r="H35" s="40"/>
      <c r="I35" s="39"/>
    </row>
    <row r="36" customFormat="false" ht="15" hidden="false" customHeight="false" outlineLevel="0" collapsed="false">
      <c r="A36" s="38" t="str">
        <f aca="false">IF($D36="","",ROW()-5)</f>
        <v/>
      </c>
      <c r="B36" s="38" t="str">
        <f aca="true">IF($D36="","",NOW())</f>
        <v/>
      </c>
      <c r="C36" s="39"/>
      <c r="D36" s="39"/>
      <c r="E36" s="39"/>
      <c r="F36" s="39"/>
      <c r="G36" s="39"/>
      <c r="H36" s="40"/>
      <c r="I36" s="39"/>
    </row>
    <row r="37" customFormat="false" ht="15" hidden="false" customHeight="false" outlineLevel="0" collapsed="false">
      <c r="A37" s="38" t="str">
        <f aca="false">IF($D37="","",ROW()-5)</f>
        <v/>
      </c>
      <c r="B37" s="38" t="str">
        <f aca="true">IF($D37="","",NOW())</f>
        <v/>
      </c>
      <c r="C37" s="39"/>
      <c r="D37" s="39"/>
      <c r="E37" s="39"/>
      <c r="F37" s="39"/>
      <c r="G37" s="39"/>
      <c r="H37" s="40"/>
      <c r="I37" s="39"/>
    </row>
    <row r="38" customFormat="false" ht="15" hidden="false" customHeight="false" outlineLevel="0" collapsed="false">
      <c r="A38" s="38" t="str">
        <f aca="false">IF($D38="","",ROW()-5)</f>
        <v/>
      </c>
      <c r="B38" s="38" t="str">
        <f aca="true">IF($D38="","",NOW())</f>
        <v/>
      </c>
      <c r="C38" s="39"/>
      <c r="D38" s="39"/>
      <c r="E38" s="39"/>
      <c r="F38" s="39"/>
      <c r="G38" s="39"/>
      <c r="H38" s="40"/>
      <c r="I38" s="39"/>
    </row>
    <row r="39" customFormat="false" ht="15" hidden="false" customHeight="false" outlineLevel="0" collapsed="false">
      <c r="A39" s="38" t="str">
        <f aca="false">IF($D39="","",ROW()-5)</f>
        <v/>
      </c>
      <c r="B39" s="38" t="str">
        <f aca="true">IF($D39="","",NOW())</f>
        <v/>
      </c>
      <c r="C39" s="39"/>
      <c r="D39" s="39"/>
      <c r="E39" s="39"/>
      <c r="F39" s="39"/>
      <c r="G39" s="39"/>
      <c r="H39" s="40"/>
      <c r="I39" s="39"/>
    </row>
    <row r="40" customFormat="false" ht="15" hidden="false" customHeight="false" outlineLevel="0" collapsed="false">
      <c r="A40" s="38" t="str">
        <f aca="false">IF($D40="","",ROW()-5)</f>
        <v/>
      </c>
      <c r="B40" s="38" t="str">
        <f aca="true">IF($D40="","",NOW())</f>
        <v/>
      </c>
      <c r="C40" s="39"/>
      <c r="D40" s="39"/>
      <c r="E40" s="39"/>
      <c r="F40" s="39"/>
      <c r="G40" s="39"/>
      <c r="H40" s="40"/>
      <c r="I40" s="39"/>
    </row>
    <row r="41" customFormat="false" ht="15" hidden="false" customHeight="false" outlineLevel="0" collapsed="false">
      <c r="A41" s="38" t="str">
        <f aca="false">IF($D41="","",ROW()-5)</f>
        <v/>
      </c>
      <c r="B41" s="38" t="str">
        <f aca="true">IF($D41="","",NOW())</f>
        <v/>
      </c>
      <c r="C41" s="39"/>
      <c r="D41" s="39"/>
      <c r="E41" s="39"/>
      <c r="F41" s="39"/>
      <c r="G41" s="39"/>
      <c r="H41" s="40"/>
      <c r="I41" s="39"/>
    </row>
    <row r="42" customFormat="false" ht="15" hidden="false" customHeight="false" outlineLevel="0" collapsed="false">
      <c r="A42" s="38" t="str">
        <f aca="false">IF($D42="","",ROW()-5)</f>
        <v/>
      </c>
      <c r="B42" s="38" t="str">
        <f aca="true">IF($D42="","",NOW())</f>
        <v/>
      </c>
      <c r="C42" s="39"/>
      <c r="D42" s="39"/>
      <c r="E42" s="39"/>
      <c r="F42" s="39"/>
      <c r="G42" s="39"/>
      <c r="H42" s="40"/>
      <c r="I42" s="39"/>
    </row>
    <row r="43" customFormat="false" ht="15" hidden="false" customHeight="false" outlineLevel="0" collapsed="false">
      <c r="A43" s="38" t="str">
        <f aca="false">IF($D43="","",ROW()-5)</f>
        <v/>
      </c>
      <c r="B43" s="38" t="str">
        <f aca="true">IF($D43="","",NOW())</f>
        <v/>
      </c>
      <c r="C43" s="39"/>
      <c r="D43" s="39"/>
      <c r="E43" s="39"/>
      <c r="F43" s="39"/>
      <c r="G43" s="39"/>
      <c r="H43" s="40"/>
      <c r="I43" s="39"/>
    </row>
    <row r="44" customFormat="false" ht="15" hidden="false" customHeight="false" outlineLevel="0" collapsed="false">
      <c r="A44" s="38" t="str">
        <f aca="false">IF($D44="","",ROW()-5)</f>
        <v/>
      </c>
      <c r="B44" s="38" t="str">
        <f aca="true">IF($D44="","",NOW())</f>
        <v/>
      </c>
      <c r="C44" s="39"/>
      <c r="D44" s="39"/>
      <c r="E44" s="39"/>
      <c r="F44" s="39"/>
      <c r="G44" s="39"/>
      <c r="H44" s="40"/>
      <c r="I44" s="39"/>
    </row>
    <row r="45" customFormat="false" ht="15" hidden="false" customHeight="false" outlineLevel="0" collapsed="false">
      <c r="A45" s="38" t="str">
        <f aca="false">IF($D45="","",ROW()-5)</f>
        <v/>
      </c>
      <c r="B45" s="38" t="str">
        <f aca="true">IF($D45="","",NOW())</f>
        <v/>
      </c>
      <c r="C45" s="39"/>
      <c r="D45" s="39"/>
      <c r="E45" s="39"/>
      <c r="F45" s="39"/>
      <c r="G45" s="39"/>
      <c r="H45" s="40"/>
      <c r="I45" s="39"/>
    </row>
    <row r="46" customFormat="false" ht="15" hidden="false" customHeight="false" outlineLevel="0" collapsed="false">
      <c r="A46" s="38" t="str">
        <f aca="false">IF($D46="","",ROW()-5)</f>
        <v/>
      </c>
      <c r="B46" s="38" t="str">
        <f aca="true">IF($D46="","",NOW())</f>
        <v/>
      </c>
      <c r="C46" s="39"/>
      <c r="D46" s="39"/>
      <c r="E46" s="39"/>
      <c r="F46" s="39"/>
      <c r="G46" s="39"/>
      <c r="H46" s="40"/>
      <c r="I46" s="39"/>
    </row>
    <row r="47" customFormat="false" ht="15" hidden="false" customHeight="false" outlineLevel="0" collapsed="false">
      <c r="A47" s="38" t="str">
        <f aca="false">IF($D47="","",ROW()-5)</f>
        <v/>
      </c>
      <c r="B47" s="38" t="str">
        <f aca="true">IF($D47="","",NOW())</f>
        <v/>
      </c>
      <c r="C47" s="39"/>
      <c r="D47" s="39"/>
      <c r="E47" s="39"/>
      <c r="F47" s="39"/>
      <c r="G47" s="39"/>
      <c r="H47" s="40"/>
      <c r="I47" s="39"/>
    </row>
    <row r="48" customFormat="false" ht="15" hidden="false" customHeight="false" outlineLevel="0" collapsed="false">
      <c r="A48" s="38" t="str">
        <f aca="false">IF($D48="","",ROW()-5)</f>
        <v/>
      </c>
      <c r="B48" s="38" t="str">
        <f aca="true">IF($D48="","",NOW())</f>
        <v/>
      </c>
      <c r="C48" s="39"/>
      <c r="D48" s="39"/>
      <c r="E48" s="39"/>
      <c r="F48" s="39"/>
      <c r="G48" s="39"/>
      <c r="H48" s="40"/>
      <c r="I48" s="39"/>
    </row>
    <row r="49" customFormat="false" ht="15" hidden="false" customHeight="false" outlineLevel="0" collapsed="false">
      <c r="A49" s="38" t="str">
        <f aca="false">IF($D49="","",ROW()-5)</f>
        <v/>
      </c>
      <c r="B49" s="38" t="str">
        <f aca="true">IF($D49="","",NOW())</f>
        <v/>
      </c>
      <c r="C49" s="39"/>
      <c r="D49" s="39"/>
      <c r="E49" s="39"/>
      <c r="F49" s="39"/>
      <c r="G49" s="39"/>
      <c r="H49" s="40"/>
      <c r="I49" s="39"/>
    </row>
    <row r="50" customFormat="false" ht="15" hidden="false" customHeight="false" outlineLevel="0" collapsed="false">
      <c r="A50" s="38" t="str">
        <f aca="false">IF($D50="","",ROW()-5)</f>
        <v/>
      </c>
      <c r="B50" s="38" t="str">
        <f aca="true">IF($D50="","",NOW())</f>
        <v/>
      </c>
      <c r="C50" s="39"/>
      <c r="D50" s="39"/>
      <c r="E50" s="39"/>
      <c r="F50" s="39"/>
      <c r="G50" s="39"/>
      <c r="H50" s="40"/>
      <c r="I50" s="39"/>
    </row>
    <row r="51" customFormat="false" ht="15" hidden="false" customHeight="false" outlineLevel="0" collapsed="false">
      <c r="A51" s="38" t="str">
        <f aca="false">IF($D51="","",ROW()-5)</f>
        <v/>
      </c>
      <c r="B51" s="38" t="str">
        <f aca="true">IF($D51="","",NOW())</f>
        <v/>
      </c>
      <c r="C51" s="39"/>
      <c r="D51" s="39"/>
      <c r="E51" s="39"/>
      <c r="F51" s="39"/>
      <c r="G51" s="39"/>
      <c r="H51" s="40"/>
      <c r="I51" s="39"/>
    </row>
    <row r="52" customFormat="false" ht="15" hidden="false" customHeight="false" outlineLevel="0" collapsed="false">
      <c r="A52" s="38" t="str">
        <f aca="false">IF($D52="","",ROW()-5)</f>
        <v/>
      </c>
      <c r="B52" s="38" t="str">
        <f aca="true">IF($D52="","",NOW())</f>
        <v/>
      </c>
      <c r="C52" s="39"/>
      <c r="D52" s="39"/>
      <c r="E52" s="39"/>
      <c r="F52" s="39"/>
      <c r="G52" s="39"/>
      <c r="H52" s="40"/>
      <c r="I52" s="39"/>
    </row>
    <row r="53" customFormat="false" ht="15" hidden="false" customHeight="false" outlineLevel="0" collapsed="false">
      <c r="A53" s="38" t="str">
        <f aca="false">IF($D53="","",ROW()-5)</f>
        <v/>
      </c>
      <c r="B53" s="38" t="str">
        <f aca="true">IF($D53="","",NOW())</f>
        <v/>
      </c>
      <c r="C53" s="39"/>
      <c r="D53" s="39"/>
      <c r="E53" s="39"/>
      <c r="F53" s="39"/>
      <c r="G53" s="39"/>
      <c r="H53" s="40"/>
      <c r="I53" s="39"/>
    </row>
    <row r="54" customFormat="false" ht="15" hidden="false" customHeight="false" outlineLevel="0" collapsed="false">
      <c r="A54" s="38" t="str">
        <f aca="false">IF($D54="","",ROW()-5)</f>
        <v/>
      </c>
      <c r="B54" s="38" t="str">
        <f aca="true">IF($D54="","",NOW())</f>
        <v/>
      </c>
      <c r="C54" s="39"/>
      <c r="D54" s="39"/>
      <c r="E54" s="39"/>
      <c r="F54" s="39"/>
      <c r="G54" s="39"/>
      <c r="H54" s="40"/>
      <c r="I54" s="39"/>
    </row>
    <row r="55" customFormat="false" ht="15" hidden="false" customHeight="false" outlineLevel="0" collapsed="false">
      <c r="A55" s="38" t="str">
        <f aca="false">IF($D55="","",ROW()-5)</f>
        <v/>
      </c>
      <c r="B55" s="38" t="str">
        <f aca="true">IF($D55="","",NOW())</f>
        <v/>
      </c>
      <c r="C55" s="39"/>
      <c r="D55" s="39"/>
      <c r="E55" s="39"/>
      <c r="F55" s="39"/>
      <c r="G55" s="39"/>
      <c r="H55" s="40"/>
      <c r="I55" s="39"/>
    </row>
    <row r="56" customFormat="false" ht="15" hidden="false" customHeight="false" outlineLevel="0" collapsed="false">
      <c r="A56" s="38" t="str">
        <f aca="false">IF($D56="","",ROW()-5)</f>
        <v/>
      </c>
      <c r="B56" s="38" t="str">
        <f aca="true">IF($D56="","",NOW())</f>
        <v/>
      </c>
      <c r="C56" s="39"/>
      <c r="D56" s="39"/>
      <c r="E56" s="39"/>
      <c r="F56" s="39"/>
      <c r="G56" s="39"/>
      <c r="H56" s="40"/>
      <c r="I56" s="39"/>
    </row>
    <row r="57" customFormat="false" ht="15" hidden="false" customHeight="false" outlineLevel="0" collapsed="false">
      <c r="A57" s="38" t="str">
        <f aca="false">IF($D57="","",ROW()-5)</f>
        <v/>
      </c>
      <c r="B57" s="38" t="str">
        <f aca="true">IF($D57="","",NOW())</f>
        <v/>
      </c>
      <c r="C57" s="39"/>
      <c r="D57" s="39"/>
      <c r="E57" s="39"/>
      <c r="F57" s="39"/>
      <c r="G57" s="39"/>
      <c r="H57" s="40"/>
      <c r="I57" s="39"/>
    </row>
    <row r="58" customFormat="false" ht="15" hidden="false" customHeight="false" outlineLevel="0" collapsed="false">
      <c r="A58" s="38" t="str">
        <f aca="false">IF($D58="","",ROW()-5)</f>
        <v/>
      </c>
      <c r="B58" s="38" t="str">
        <f aca="true">IF($D58="","",NOW())</f>
        <v/>
      </c>
      <c r="C58" s="39"/>
      <c r="D58" s="39"/>
      <c r="E58" s="39"/>
      <c r="F58" s="39"/>
      <c r="G58" s="39"/>
      <c r="H58" s="40"/>
      <c r="I58" s="39"/>
    </row>
    <row r="59" customFormat="false" ht="15" hidden="false" customHeight="false" outlineLevel="0" collapsed="false">
      <c r="A59" s="38" t="str">
        <f aca="false">IF($D59="","",ROW()-5)</f>
        <v/>
      </c>
      <c r="B59" s="38" t="str">
        <f aca="true">IF($D59="","",NOW())</f>
        <v/>
      </c>
      <c r="C59" s="39"/>
      <c r="D59" s="39"/>
      <c r="E59" s="39"/>
      <c r="F59" s="39"/>
      <c r="G59" s="39"/>
      <c r="H59" s="40"/>
      <c r="I59" s="39"/>
    </row>
    <row r="60" customFormat="false" ht="15" hidden="false" customHeight="false" outlineLevel="0" collapsed="false">
      <c r="A60" s="38" t="str">
        <f aca="false">IF($D60="","",ROW()-5)</f>
        <v/>
      </c>
      <c r="B60" s="38" t="str">
        <f aca="true">IF($D60="","",NOW())</f>
        <v/>
      </c>
      <c r="C60" s="39"/>
      <c r="D60" s="39"/>
      <c r="E60" s="39"/>
      <c r="F60" s="39"/>
      <c r="G60" s="39"/>
      <c r="H60" s="40"/>
      <c r="I60" s="39"/>
    </row>
    <row r="61" customFormat="false" ht="15" hidden="false" customHeight="false" outlineLevel="0" collapsed="false">
      <c r="A61" s="38" t="str">
        <f aca="false">IF($D61="","",ROW()-5)</f>
        <v/>
      </c>
      <c r="B61" s="38" t="str">
        <f aca="true">IF($D61="","",NOW())</f>
        <v/>
      </c>
      <c r="C61" s="39"/>
      <c r="D61" s="39"/>
      <c r="E61" s="39"/>
      <c r="F61" s="39"/>
      <c r="G61" s="39"/>
      <c r="H61" s="40"/>
      <c r="I61" s="39"/>
    </row>
    <row r="62" customFormat="false" ht="15" hidden="false" customHeight="false" outlineLevel="0" collapsed="false">
      <c r="A62" s="38" t="str">
        <f aca="false">IF($D62="","",ROW()-5)</f>
        <v/>
      </c>
      <c r="B62" s="38" t="str">
        <f aca="true">IF($D62="","",NOW())</f>
        <v/>
      </c>
      <c r="C62" s="39"/>
      <c r="D62" s="39"/>
      <c r="E62" s="39"/>
      <c r="F62" s="39"/>
      <c r="G62" s="39"/>
      <c r="H62" s="40"/>
      <c r="I62" s="39"/>
    </row>
    <row r="63" customFormat="false" ht="15" hidden="false" customHeight="false" outlineLevel="0" collapsed="false">
      <c r="A63" s="38" t="str">
        <f aca="false">IF($D63="","",ROW()-5)</f>
        <v/>
      </c>
      <c r="B63" s="38" t="str">
        <f aca="true">IF($D63="","",NOW())</f>
        <v/>
      </c>
      <c r="C63" s="39"/>
      <c r="D63" s="39"/>
      <c r="E63" s="39"/>
      <c r="F63" s="39"/>
      <c r="G63" s="39"/>
      <c r="H63" s="40"/>
      <c r="I63" s="39"/>
    </row>
    <row r="64" customFormat="false" ht="15" hidden="false" customHeight="false" outlineLevel="0" collapsed="false">
      <c r="A64" s="38" t="str">
        <f aca="false">IF($D64="","",ROW()-5)</f>
        <v/>
      </c>
      <c r="B64" s="38" t="str">
        <f aca="true">IF($D64="","",NOW())</f>
        <v/>
      </c>
      <c r="C64" s="39"/>
      <c r="D64" s="39"/>
      <c r="E64" s="39"/>
      <c r="F64" s="39"/>
      <c r="G64" s="39"/>
      <c r="H64" s="40"/>
      <c r="I64" s="39"/>
    </row>
    <row r="65" customFormat="false" ht="15" hidden="false" customHeight="false" outlineLevel="0" collapsed="false">
      <c r="A65" s="38" t="str">
        <f aca="false">IF($D65="","",ROW()-5)</f>
        <v/>
      </c>
      <c r="B65" s="38" t="str">
        <f aca="true">IF($D65="","",NOW())</f>
        <v/>
      </c>
      <c r="C65" s="39"/>
      <c r="D65" s="39"/>
      <c r="E65" s="39"/>
      <c r="F65" s="39"/>
      <c r="G65" s="39"/>
      <c r="H65" s="40"/>
      <c r="I65" s="39"/>
    </row>
    <row r="66" customFormat="false" ht="15" hidden="false" customHeight="false" outlineLevel="0" collapsed="false">
      <c r="A66" s="38" t="str">
        <f aca="false">IF($D66="","",ROW()-5)</f>
        <v/>
      </c>
      <c r="B66" s="38" t="str">
        <f aca="true">IF($D66="","",NOW())</f>
        <v/>
      </c>
      <c r="C66" s="39"/>
      <c r="D66" s="39"/>
      <c r="E66" s="39"/>
      <c r="F66" s="39"/>
      <c r="G66" s="39"/>
      <c r="H66" s="40"/>
      <c r="I66" s="39"/>
    </row>
    <row r="67" customFormat="false" ht="15" hidden="false" customHeight="false" outlineLevel="0" collapsed="false">
      <c r="A67" s="38" t="str">
        <f aca="false">IF($D67="","",ROW()-5)</f>
        <v/>
      </c>
      <c r="B67" s="38" t="str">
        <f aca="true">IF($D67="","",NOW())</f>
        <v/>
      </c>
      <c r="C67" s="39"/>
      <c r="D67" s="39"/>
      <c r="E67" s="39"/>
      <c r="F67" s="39"/>
      <c r="G67" s="39"/>
      <c r="H67" s="40"/>
      <c r="I67" s="39"/>
    </row>
    <row r="68" customFormat="false" ht="15" hidden="false" customHeight="false" outlineLevel="0" collapsed="false">
      <c r="A68" s="38" t="str">
        <f aca="false">IF($D68="","",ROW()-5)</f>
        <v/>
      </c>
      <c r="B68" s="38" t="str">
        <f aca="true">IF($D68="","",NOW())</f>
        <v/>
      </c>
      <c r="C68" s="39"/>
      <c r="D68" s="39"/>
      <c r="E68" s="39"/>
      <c r="F68" s="39"/>
      <c r="G68" s="39"/>
      <c r="H68" s="40"/>
      <c r="I68" s="39"/>
    </row>
    <row r="69" customFormat="false" ht="15" hidden="false" customHeight="false" outlineLevel="0" collapsed="false">
      <c r="A69" s="38" t="str">
        <f aca="false">IF($D69="","",ROW()-5)</f>
        <v/>
      </c>
      <c r="B69" s="38" t="str">
        <f aca="true">IF($D69="","",NOW())</f>
        <v/>
      </c>
      <c r="C69" s="39"/>
      <c r="D69" s="39"/>
      <c r="E69" s="39"/>
      <c r="F69" s="39"/>
      <c r="G69" s="39"/>
      <c r="H69" s="40"/>
      <c r="I69" s="39"/>
    </row>
    <row r="70" customFormat="false" ht="15" hidden="false" customHeight="false" outlineLevel="0" collapsed="false">
      <c r="A70" s="38" t="str">
        <f aca="false">IF($D70="","",ROW()-5)</f>
        <v/>
      </c>
      <c r="B70" s="38" t="str">
        <f aca="true">IF($D70="","",NOW())</f>
        <v/>
      </c>
      <c r="C70" s="39"/>
      <c r="D70" s="39"/>
      <c r="E70" s="39"/>
      <c r="F70" s="39"/>
      <c r="G70" s="39"/>
      <c r="H70" s="40"/>
      <c r="I70" s="39"/>
    </row>
    <row r="71" customFormat="false" ht="15" hidden="false" customHeight="false" outlineLevel="0" collapsed="false">
      <c r="A71" s="38" t="str">
        <f aca="false">IF($D71="","",ROW()-5)</f>
        <v/>
      </c>
      <c r="B71" s="38" t="str">
        <f aca="true">IF($D71="","",NOW())</f>
        <v/>
      </c>
      <c r="C71" s="39"/>
      <c r="D71" s="39"/>
      <c r="E71" s="39"/>
      <c r="F71" s="39"/>
      <c r="G71" s="39"/>
      <c r="H71" s="40"/>
      <c r="I71" s="39"/>
    </row>
    <row r="72" customFormat="false" ht="15" hidden="false" customHeight="false" outlineLevel="0" collapsed="false">
      <c r="A72" s="38" t="str">
        <f aca="false">IF($D72="","",ROW()-5)</f>
        <v/>
      </c>
      <c r="B72" s="38" t="str">
        <f aca="true">IF($D72="","",NOW())</f>
        <v/>
      </c>
      <c r="C72" s="39"/>
      <c r="D72" s="39"/>
      <c r="E72" s="39"/>
      <c r="F72" s="39"/>
      <c r="G72" s="39"/>
      <c r="H72" s="40"/>
      <c r="I72" s="39"/>
    </row>
    <row r="73" customFormat="false" ht="15" hidden="false" customHeight="false" outlineLevel="0" collapsed="false">
      <c r="A73" s="38" t="str">
        <f aca="false">IF($D73="","",ROW()-5)</f>
        <v/>
      </c>
      <c r="B73" s="38" t="str">
        <f aca="true">IF($D73="","",NOW())</f>
        <v/>
      </c>
      <c r="C73" s="39"/>
      <c r="D73" s="39"/>
      <c r="E73" s="39"/>
      <c r="F73" s="39"/>
      <c r="G73" s="39"/>
      <c r="H73" s="40"/>
      <c r="I73" s="39"/>
    </row>
    <row r="74" customFormat="false" ht="15" hidden="false" customHeight="false" outlineLevel="0" collapsed="false">
      <c r="A74" s="38" t="str">
        <f aca="false">IF($D74="","",ROW()-5)</f>
        <v/>
      </c>
      <c r="B74" s="38" t="str">
        <f aca="true">IF($D74="","",NOW())</f>
        <v/>
      </c>
      <c r="C74" s="39"/>
      <c r="D74" s="39"/>
      <c r="E74" s="39"/>
      <c r="F74" s="39"/>
      <c r="G74" s="39"/>
      <c r="H74" s="40"/>
      <c r="I74" s="39"/>
    </row>
    <row r="75" customFormat="false" ht="15" hidden="false" customHeight="false" outlineLevel="0" collapsed="false">
      <c r="A75" s="38" t="str">
        <f aca="false">IF($D75="","",ROW()-5)</f>
        <v/>
      </c>
      <c r="B75" s="38" t="str">
        <f aca="true">IF($D75="","",NOW())</f>
        <v/>
      </c>
      <c r="C75" s="39"/>
      <c r="D75" s="39"/>
      <c r="E75" s="39"/>
      <c r="F75" s="39"/>
      <c r="G75" s="39"/>
      <c r="H75" s="40"/>
      <c r="I75" s="39"/>
    </row>
    <row r="76" customFormat="false" ht="15" hidden="false" customHeight="false" outlineLevel="0" collapsed="false">
      <c r="A76" s="38" t="str">
        <f aca="false">IF($D76="","",ROW()-5)</f>
        <v/>
      </c>
      <c r="B76" s="38" t="str">
        <f aca="true">IF($D76="","",NOW())</f>
        <v/>
      </c>
      <c r="C76" s="39"/>
      <c r="D76" s="39"/>
      <c r="E76" s="39"/>
      <c r="F76" s="39"/>
      <c r="G76" s="39"/>
      <c r="H76" s="40"/>
      <c r="I76" s="39"/>
    </row>
    <row r="77" customFormat="false" ht="15" hidden="false" customHeight="false" outlineLevel="0" collapsed="false">
      <c r="A77" s="38" t="str">
        <f aca="false">IF($D77="","",ROW()-5)</f>
        <v/>
      </c>
      <c r="B77" s="38" t="str">
        <f aca="true">IF($D77="","",NOW())</f>
        <v/>
      </c>
      <c r="C77" s="39"/>
      <c r="D77" s="39"/>
      <c r="E77" s="39"/>
      <c r="F77" s="39"/>
      <c r="G77" s="39"/>
      <c r="H77" s="40"/>
      <c r="I77" s="39"/>
    </row>
    <row r="78" customFormat="false" ht="15" hidden="false" customHeight="false" outlineLevel="0" collapsed="false">
      <c r="A78" s="38" t="str">
        <f aca="false">IF($D78="","",ROW()-5)</f>
        <v/>
      </c>
      <c r="B78" s="38" t="str">
        <f aca="true">IF($D78="","",NOW())</f>
        <v/>
      </c>
      <c r="C78" s="39"/>
      <c r="D78" s="39"/>
      <c r="E78" s="39"/>
      <c r="F78" s="39"/>
      <c r="G78" s="39"/>
      <c r="H78" s="40"/>
      <c r="I78" s="39"/>
    </row>
    <row r="79" customFormat="false" ht="15" hidden="false" customHeight="false" outlineLevel="0" collapsed="false">
      <c r="A79" s="38" t="str">
        <f aca="false">IF($D79="","",ROW()-5)</f>
        <v/>
      </c>
      <c r="B79" s="38" t="str">
        <f aca="true">IF($D79="","",NOW())</f>
        <v/>
      </c>
      <c r="C79" s="39"/>
      <c r="D79" s="39"/>
      <c r="E79" s="39"/>
      <c r="F79" s="39"/>
      <c r="G79" s="39"/>
      <c r="H79" s="40"/>
      <c r="I79" s="39"/>
    </row>
    <row r="80" customFormat="false" ht="15" hidden="false" customHeight="false" outlineLevel="0" collapsed="false">
      <c r="A80" s="38" t="str">
        <f aca="false">IF($D80="","",ROW()-5)</f>
        <v/>
      </c>
      <c r="B80" s="38" t="str">
        <f aca="true">IF($D80="","",NOW())</f>
        <v/>
      </c>
      <c r="C80" s="39"/>
      <c r="D80" s="39"/>
      <c r="E80" s="39"/>
      <c r="F80" s="39"/>
      <c r="G80" s="39"/>
      <c r="H80" s="40"/>
      <c r="I80" s="39"/>
    </row>
    <row r="81" customFormat="false" ht="15" hidden="false" customHeight="false" outlineLevel="0" collapsed="false">
      <c r="A81" s="38" t="str">
        <f aca="false">IF($D81="","",ROW()-5)</f>
        <v/>
      </c>
      <c r="B81" s="38" t="str">
        <f aca="true">IF($D81="","",NOW())</f>
        <v/>
      </c>
      <c r="C81" s="39"/>
      <c r="D81" s="39"/>
      <c r="E81" s="39"/>
      <c r="F81" s="39"/>
      <c r="G81" s="39"/>
      <c r="H81" s="40"/>
      <c r="I81" s="39"/>
    </row>
    <row r="82" customFormat="false" ht="15" hidden="false" customHeight="false" outlineLevel="0" collapsed="false">
      <c r="A82" s="38" t="str">
        <f aca="false">IF($D82="","",ROW()-5)</f>
        <v/>
      </c>
      <c r="B82" s="38" t="str">
        <f aca="true">IF($D82="","",NOW())</f>
        <v/>
      </c>
      <c r="C82" s="39"/>
      <c r="D82" s="39"/>
      <c r="E82" s="39"/>
      <c r="F82" s="39"/>
      <c r="G82" s="39"/>
      <c r="H82" s="40"/>
      <c r="I82" s="39"/>
    </row>
    <row r="83" customFormat="false" ht="15" hidden="false" customHeight="false" outlineLevel="0" collapsed="false">
      <c r="A83" s="38" t="str">
        <f aca="false">IF($D83="","",ROW()-5)</f>
        <v/>
      </c>
      <c r="B83" s="38" t="str">
        <f aca="true">IF($D83="","",NOW())</f>
        <v/>
      </c>
      <c r="C83" s="39"/>
      <c r="D83" s="39"/>
      <c r="E83" s="39"/>
      <c r="F83" s="39"/>
      <c r="G83" s="39"/>
      <c r="H83" s="40"/>
      <c r="I83" s="39"/>
    </row>
    <row r="84" customFormat="false" ht="15" hidden="false" customHeight="false" outlineLevel="0" collapsed="false">
      <c r="A84" s="38" t="str">
        <f aca="false">IF($D84="","",ROW()-5)</f>
        <v/>
      </c>
      <c r="B84" s="38" t="str">
        <f aca="true">IF($D84="","",NOW())</f>
        <v/>
      </c>
      <c r="C84" s="39"/>
      <c r="D84" s="39"/>
      <c r="E84" s="39"/>
      <c r="F84" s="39"/>
      <c r="G84" s="39"/>
      <c r="H84" s="40"/>
      <c r="I84" s="39"/>
    </row>
    <row r="85" customFormat="false" ht="15" hidden="false" customHeight="false" outlineLevel="0" collapsed="false">
      <c r="A85" s="38" t="str">
        <f aca="false">IF($D85="","",ROW()-5)</f>
        <v/>
      </c>
      <c r="B85" s="38" t="str">
        <f aca="true">IF($D85="","",NOW())</f>
        <v/>
      </c>
      <c r="C85" s="39"/>
      <c r="D85" s="39"/>
      <c r="E85" s="39"/>
      <c r="F85" s="39"/>
      <c r="G85" s="39"/>
      <c r="H85" s="40"/>
      <c r="I85" s="39"/>
    </row>
    <row r="86" customFormat="false" ht="15" hidden="false" customHeight="false" outlineLevel="0" collapsed="false">
      <c r="A86" s="38" t="str">
        <f aca="false">IF($D86="","",ROW()-5)</f>
        <v/>
      </c>
      <c r="B86" s="38" t="str">
        <f aca="true">IF($D86="","",NOW())</f>
        <v/>
      </c>
      <c r="C86" s="39"/>
      <c r="D86" s="39"/>
      <c r="E86" s="39"/>
      <c r="F86" s="39"/>
      <c r="G86" s="39"/>
      <c r="H86" s="40"/>
      <c r="I86" s="39"/>
    </row>
    <row r="87" customFormat="false" ht="15" hidden="false" customHeight="false" outlineLevel="0" collapsed="false">
      <c r="A87" s="38" t="str">
        <f aca="false">IF($D87="","",ROW()-5)</f>
        <v/>
      </c>
      <c r="B87" s="38" t="str">
        <f aca="true">IF($D87="","",NOW())</f>
        <v/>
      </c>
      <c r="C87" s="39"/>
      <c r="D87" s="39"/>
      <c r="E87" s="39"/>
      <c r="F87" s="39"/>
      <c r="G87" s="39"/>
      <c r="H87" s="40"/>
      <c r="I87" s="39"/>
    </row>
    <row r="88" customFormat="false" ht="15" hidden="false" customHeight="false" outlineLevel="0" collapsed="false">
      <c r="A88" s="38" t="str">
        <f aca="false">IF($D88="","",ROW()-5)</f>
        <v/>
      </c>
      <c r="B88" s="38" t="str">
        <f aca="true">IF($D88="","",NOW())</f>
        <v/>
      </c>
      <c r="C88" s="39"/>
      <c r="D88" s="39"/>
      <c r="E88" s="39"/>
      <c r="F88" s="39"/>
      <c r="G88" s="39"/>
      <c r="H88" s="40"/>
      <c r="I88" s="39"/>
    </row>
    <row r="89" customFormat="false" ht="15" hidden="false" customHeight="false" outlineLevel="0" collapsed="false">
      <c r="A89" s="38" t="str">
        <f aca="false">IF($D89="","",ROW()-5)</f>
        <v/>
      </c>
      <c r="B89" s="38" t="str">
        <f aca="true">IF($D89="","",NOW())</f>
        <v/>
      </c>
      <c r="C89" s="39"/>
      <c r="D89" s="39"/>
      <c r="E89" s="39"/>
      <c r="F89" s="39"/>
      <c r="G89" s="39"/>
      <c r="H89" s="40"/>
      <c r="I89" s="39"/>
    </row>
    <row r="90" customFormat="false" ht="15" hidden="false" customHeight="false" outlineLevel="0" collapsed="false">
      <c r="A90" s="38" t="str">
        <f aca="false">IF($D90="","",ROW()-5)</f>
        <v/>
      </c>
      <c r="B90" s="38" t="str">
        <f aca="true">IF($D90="","",NOW())</f>
        <v/>
      </c>
      <c r="C90" s="39"/>
      <c r="D90" s="39"/>
      <c r="E90" s="39"/>
      <c r="F90" s="39"/>
      <c r="G90" s="39"/>
      <c r="H90" s="40"/>
      <c r="I90" s="39"/>
    </row>
    <row r="91" customFormat="false" ht="15" hidden="false" customHeight="false" outlineLevel="0" collapsed="false">
      <c r="A91" s="38" t="str">
        <f aca="false">IF($D91="","",ROW()-5)</f>
        <v/>
      </c>
      <c r="B91" s="38" t="str">
        <f aca="true">IF($D91="","",NOW())</f>
        <v/>
      </c>
      <c r="C91" s="39"/>
      <c r="D91" s="39"/>
      <c r="E91" s="39"/>
      <c r="F91" s="39"/>
      <c r="G91" s="39"/>
      <c r="H91" s="40"/>
      <c r="I91" s="39"/>
    </row>
    <row r="92" customFormat="false" ht="15" hidden="false" customHeight="false" outlineLevel="0" collapsed="false">
      <c r="A92" s="38" t="str">
        <f aca="false">IF($D92="","",ROW()-5)</f>
        <v/>
      </c>
      <c r="B92" s="38" t="str">
        <f aca="true">IF($D92="","",NOW())</f>
        <v/>
      </c>
      <c r="C92" s="39"/>
      <c r="D92" s="39"/>
      <c r="E92" s="39"/>
      <c r="F92" s="39"/>
      <c r="G92" s="39"/>
      <c r="H92" s="40"/>
      <c r="I92" s="39"/>
    </row>
    <row r="93" customFormat="false" ht="15" hidden="false" customHeight="false" outlineLevel="0" collapsed="false">
      <c r="A93" s="38" t="str">
        <f aca="false">IF($D93="","",ROW()-5)</f>
        <v/>
      </c>
      <c r="B93" s="38" t="str">
        <f aca="true">IF($D93="","",NOW())</f>
        <v/>
      </c>
      <c r="C93" s="39"/>
      <c r="D93" s="39"/>
      <c r="E93" s="39"/>
      <c r="F93" s="39"/>
      <c r="G93" s="39"/>
      <c r="H93" s="40"/>
      <c r="I93" s="39"/>
    </row>
    <row r="94" customFormat="false" ht="15" hidden="false" customHeight="false" outlineLevel="0" collapsed="false">
      <c r="A94" s="38" t="str">
        <f aca="false">IF($D94="","",ROW()-5)</f>
        <v/>
      </c>
      <c r="B94" s="38" t="str">
        <f aca="true">IF($D94="","",NOW())</f>
        <v/>
      </c>
      <c r="C94" s="39"/>
      <c r="D94" s="39"/>
      <c r="E94" s="39"/>
      <c r="F94" s="39"/>
      <c r="G94" s="39"/>
      <c r="H94" s="40"/>
      <c r="I94" s="39"/>
    </row>
    <row r="95" customFormat="false" ht="15" hidden="false" customHeight="false" outlineLevel="0" collapsed="false">
      <c r="A95" s="38" t="str">
        <f aca="false">IF($D95="","",ROW()-5)</f>
        <v/>
      </c>
      <c r="B95" s="38" t="str">
        <f aca="true">IF($D95="","",NOW())</f>
        <v/>
      </c>
      <c r="C95" s="39"/>
      <c r="D95" s="39"/>
      <c r="E95" s="39"/>
      <c r="F95" s="39"/>
      <c r="G95" s="39"/>
      <c r="H95" s="40"/>
      <c r="I95" s="39"/>
    </row>
    <row r="96" customFormat="false" ht="15" hidden="false" customHeight="false" outlineLevel="0" collapsed="false">
      <c r="A96" s="38" t="str">
        <f aca="false">IF($D96="","",ROW()-5)</f>
        <v/>
      </c>
      <c r="B96" s="38" t="str">
        <f aca="true">IF($D96="","",NOW())</f>
        <v/>
      </c>
      <c r="C96" s="39"/>
      <c r="D96" s="39"/>
      <c r="E96" s="39"/>
      <c r="F96" s="39"/>
      <c r="G96" s="39"/>
      <c r="H96" s="40"/>
      <c r="I96" s="39"/>
    </row>
    <row r="97" customFormat="false" ht="15" hidden="false" customHeight="false" outlineLevel="0" collapsed="false">
      <c r="A97" s="38" t="str">
        <f aca="false">IF($D97="","",ROW()-5)</f>
        <v/>
      </c>
      <c r="B97" s="38" t="str">
        <f aca="true">IF($D97="","",NOW())</f>
        <v/>
      </c>
      <c r="C97" s="39"/>
      <c r="D97" s="39"/>
      <c r="E97" s="39"/>
      <c r="F97" s="39"/>
      <c r="G97" s="39"/>
      <c r="H97" s="40"/>
      <c r="I97" s="39"/>
    </row>
    <row r="98" customFormat="false" ht="15" hidden="false" customHeight="false" outlineLevel="0" collapsed="false">
      <c r="A98" s="38" t="str">
        <f aca="false">IF($D98="","",ROW()-5)</f>
        <v/>
      </c>
      <c r="B98" s="38" t="str">
        <f aca="true">IF($D98="","",NOW())</f>
        <v/>
      </c>
      <c r="C98" s="39"/>
      <c r="D98" s="39"/>
      <c r="E98" s="39"/>
      <c r="F98" s="39"/>
      <c r="G98" s="39"/>
      <c r="H98" s="40"/>
      <c r="I98" s="39"/>
    </row>
    <row r="99" customFormat="false" ht="15" hidden="false" customHeight="false" outlineLevel="0" collapsed="false">
      <c r="A99" s="38" t="str">
        <f aca="false">IF($D99="","",ROW()-5)</f>
        <v/>
      </c>
      <c r="B99" s="38" t="str">
        <f aca="true">IF($D99="","",NOW())</f>
        <v/>
      </c>
      <c r="C99" s="39"/>
      <c r="D99" s="39"/>
      <c r="E99" s="39"/>
      <c r="F99" s="39"/>
      <c r="G99" s="39"/>
      <c r="H99" s="40"/>
      <c r="I99" s="39"/>
    </row>
    <row r="100" customFormat="false" ht="15" hidden="false" customHeight="false" outlineLevel="0" collapsed="false">
      <c r="A100" s="38" t="str">
        <f aca="false">IF($D100="","",ROW()-5)</f>
        <v/>
      </c>
      <c r="B100" s="38" t="str">
        <f aca="true">IF($D100="","",NOW())</f>
        <v/>
      </c>
      <c r="C100" s="39"/>
      <c r="D100" s="39"/>
      <c r="E100" s="39"/>
      <c r="F100" s="39"/>
      <c r="G100" s="39"/>
      <c r="H100" s="40"/>
      <c r="I100" s="39"/>
    </row>
    <row r="101" customFormat="false" ht="15" hidden="false" customHeight="false" outlineLevel="0" collapsed="false">
      <c r="A101" s="38" t="str">
        <f aca="false">IF($D101="","",ROW()-5)</f>
        <v/>
      </c>
      <c r="B101" s="38" t="str">
        <f aca="true">IF($D101="","",NOW())</f>
        <v/>
      </c>
      <c r="C101" s="39"/>
      <c r="D101" s="39"/>
      <c r="E101" s="39"/>
      <c r="F101" s="39"/>
      <c r="G101" s="39"/>
      <c r="H101" s="40"/>
      <c r="I101" s="39"/>
    </row>
    <row r="102" customFormat="false" ht="15" hidden="false" customHeight="false" outlineLevel="0" collapsed="false">
      <c r="A102" s="38" t="str">
        <f aca="false">IF($D102="","",ROW()-5)</f>
        <v/>
      </c>
      <c r="B102" s="38" t="str">
        <f aca="true">IF($D102="","",NOW())</f>
        <v/>
      </c>
      <c r="C102" s="39"/>
      <c r="D102" s="39"/>
      <c r="E102" s="39"/>
      <c r="F102" s="39"/>
      <c r="G102" s="39"/>
      <c r="H102" s="40"/>
      <c r="I102" s="39"/>
    </row>
    <row r="103" customFormat="false" ht="15" hidden="false" customHeight="false" outlineLevel="0" collapsed="false">
      <c r="A103" s="38" t="str">
        <f aca="false">IF($D103="","",ROW()-5)</f>
        <v/>
      </c>
      <c r="B103" s="38" t="str">
        <f aca="true">IF($D103="","",NOW())</f>
        <v/>
      </c>
      <c r="C103" s="39"/>
      <c r="D103" s="39"/>
      <c r="E103" s="39"/>
      <c r="F103" s="39"/>
      <c r="G103" s="39"/>
      <c r="H103" s="40"/>
      <c r="I103" s="39"/>
    </row>
    <row r="104" customFormat="false" ht="15" hidden="false" customHeight="false" outlineLevel="0" collapsed="false">
      <c r="A104" s="38" t="str">
        <f aca="false">IF($D104="","",ROW()-5)</f>
        <v/>
      </c>
      <c r="B104" s="38" t="str">
        <f aca="true">IF($D104="","",NOW())</f>
        <v/>
      </c>
      <c r="C104" s="39"/>
      <c r="D104" s="39"/>
      <c r="E104" s="39"/>
      <c r="F104" s="39"/>
      <c r="G104" s="39"/>
      <c r="H104" s="40"/>
      <c r="I104" s="39"/>
    </row>
    <row r="105" customFormat="false" ht="15" hidden="false" customHeight="false" outlineLevel="0" collapsed="false">
      <c r="A105" s="38" t="str">
        <f aca="false">IF($D105="","",ROW()-5)</f>
        <v/>
      </c>
      <c r="B105" s="38" t="str">
        <f aca="true">IF($D105="","",NOW())</f>
        <v/>
      </c>
      <c r="C105" s="39"/>
      <c r="D105" s="39"/>
      <c r="E105" s="39"/>
      <c r="F105" s="39"/>
      <c r="G105" s="39"/>
      <c r="H105" s="40"/>
      <c r="I105" s="39"/>
    </row>
    <row r="106" customFormat="false" ht="15" hidden="false" customHeight="false" outlineLevel="0" collapsed="false">
      <c r="A106" s="38" t="str">
        <f aca="false">IF($D106="","",ROW()-5)</f>
        <v/>
      </c>
      <c r="B106" s="38" t="str">
        <f aca="true">IF($D106="","",NOW())</f>
        <v/>
      </c>
      <c r="C106" s="39"/>
      <c r="D106" s="39"/>
      <c r="E106" s="39"/>
      <c r="F106" s="39"/>
      <c r="G106" s="39"/>
      <c r="H106" s="40"/>
      <c r="I106" s="39"/>
    </row>
    <row r="107" customFormat="false" ht="15" hidden="false" customHeight="false" outlineLevel="0" collapsed="false">
      <c r="A107" s="38" t="str">
        <f aca="false">IF($D107="","",ROW()-5)</f>
        <v/>
      </c>
      <c r="B107" s="38" t="str">
        <f aca="true">IF($D107="","",NOW())</f>
        <v/>
      </c>
      <c r="C107" s="39"/>
      <c r="D107" s="39"/>
      <c r="E107" s="39"/>
      <c r="F107" s="39"/>
      <c r="G107" s="39"/>
      <c r="H107" s="40"/>
      <c r="I107" s="39"/>
    </row>
    <row r="108" customFormat="false" ht="15" hidden="false" customHeight="false" outlineLevel="0" collapsed="false">
      <c r="A108" s="38" t="str">
        <f aca="false">IF($D108="","",ROW()-5)</f>
        <v/>
      </c>
      <c r="B108" s="38" t="str">
        <f aca="true">IF($D108="","",NOW())</f>
        <v/>
      </c>
      <c r="C108" s="39"/>
      <c r="D108" s="39"/>
      <c r="E108" s="39"/>
      <c r="F108" s="39"/>
      <c r="G108" s="39"/>
      <c r="H108" s="40"/>
      <c r="I108" s="39"/>
    </row>
    <row r="109" customFormat="false" ht="15" hidden="false" customHeight="false" outlineLevel="0" collapsed="false">
      <c r="A109" s="38" t="str">
        <f aca="false">IF($D109="","",ROW()-5)</f>
        <v/>
      </c>
      <c r="B109" s="38" t="str">
        <f aca="true">IF($D109="","",NOW())</f>
        <v/>
      </c>
      <c r="C109" s="39"/>
      <c r="D109" s="39"/>
      <c r="E109" s="39"/>
      <c r="F109" s="39"/>
      <c r="G109" s="39"/>
      <c r="H109" s="40"/>
      <c r="I109" s="39"/>
    </row>
    <row r="110" customFormat="false" ht="15" hidden="false" customHeight="false" outlineLevel="0" collapsed="false">
      <c r="A110" s="38" t="str">
        <f aca="false">IF($D110="","",ROW()-5)</f>
        <v/>
      </c>
      <c r="B110" s="38" t="str">
        <f aca="true">IF($D110="","",NOW())</f>
        <v/>
      </c>
      <c r="C110" s="39"/>
      <c r="D110" s="39"/>
      <c r="E110" s="39"/>
      <c r="F110" s="39"/>
      <c r="G110" s="39"/>
      <c r="H110" s="40"/>
      <c r="I110" s="39"/>
    </row>
    <row r="111" customFormat="false" ht="15" hidden="false" customHeight="false" outlineLevel="0" collapsed="false">
      <c r="A111" s="38" t="str">
        <f aca="false">IF($D111="","",ROW()-5)</f>
        <v/>
      </c>
      <c r="B111" s="38" t="str">
        <f aca="true">IF($D111="","",NOW())</f>
        <v/>
      </c>
      <c r="C111" s="39"/>
      <c r="D111" s="39"/>
      <c r="E111" s="39"/>
      <c r="F111" s="39"/>
      <c r="G111" s="39"/>
      <c r="H111" s="40"/>
      <c r="I111" s="39"/>
    </row>
    <row r="112" customFormat="false" ht="15" hidden="false" customHeight="false" outlineLevel="0" collapsed="false">
      <c r="A112" s="38" t="str">
        <f aca="false">IF($D112="","",ROW()-5)</f>
        <v/>
      </c>
      <c r="B112" s="38" t="str">
        <f aca="true">IF($D112="","",NOW())</f>
        <v/>
      </c>
      <c r="C112" s="39"/>
      <c r="D112" s="39"/>
      <c r="E112" s="39"/>
      <c r="F112" s="39"/>
      <c r="G112" s="39"/>
      <c r="H112" s="40"/>
      <c r="I112" s="39"/>
    </row>
    <row r="113" customFormat="false" ht="15" hidden="false" customHeight="false" outlineLevel="0" collapsed="false">
      <c r="A113" s="38" t="str">
        <f aca="false">IF($D113="","",ROW()-5)</f>
        <v/>
      </c>
      <c r="B113" s="38" t="str">
        <f aca="true">IF($D113="","",NOW())</f>
        <v/>
      </c>
      <c r="C113" s="39"/>
      <c r="D113" s="39"/>
      <c r="E113" s="39"/>
      <c r="F113" s="39"/>
      <c r="G113" s="39"/>
      <c r="H113" s="40"/>
      <c r="I113" s="39"/>
    </row>
    <row r="114" customFormat="false" ht="15" hidden="false" customHeight="false" outlineLevel="0" collapsed="false">
      <c r="A114" s="38" t="str">
        <f aca="false">IF($D114="","",ROW()-5)</f>
        <v/>
      </c>
      <c r="B114" s="38" t="str">
        <f aca="true">IF($D114="","",NOW())</f>
        <v/>
      </c>
      <c r="C114" s="39"/>
      <c r="D114" s="39"/>
      <c r="E114" s="39"/>
      <c r="F114" s="39"/>
      <c r="G114" s="39"/>
      <c r="H114" s="40"/>
      <c r="I114" s="39"/>
    </row>
    <row r="115" customFormat="false" ht="15" hidden="false" customHeight="false" outlineLevel="0" collapsed="false">
      <c r="A115" s="38" t="str">
        <f aca="false">IF($D115="","",ROW()-5)</f>
        <v/>
      </c>
      <c r="B115" s="38" t="str">
        <f aca="true">IF($D115="","",NOW())</f>
        <v/>
      </c>
      <c r="C115" s="39"/>
      <c r="D115" s="39"/>
      <c r="E115" s="39"/>
      <c r="F115" s="39"/>
      <c r="G115" s="39"/>
      <c r="H115" s="40"/>
      <c r="I115" s="39"/>
    </row>
    <row r="116" customFormat="false" ht="15" hidden="false" customHeight="false" outlineLevel="0" collapsed="false">
      <c r="A116" s="38" t="str">
        <f aca="false">IF($D116="","",ROW()-5)</f>
        <v/>
      </c>
      <c r="B116" s="38" t="str">
        <f aca="true">IF($D116="","",NOW())</f>
        <v/>
      </c>
      <c r="C116" s="39"/>
      <c r="D116" s="39"/>
      <c r="E116" s="39"/>
      <c r="F116" s="39"/>
      <c r="G116" s="39"/>
      <c r="H116" s="40"/>
      <c r="I116" s="39"/>
    </row>
    <row r="117" customFormat="false" ht="15" hidden="false" customHeight="false" outlineLevel="0" collapsed="false">
      <c r="A117" s="38" t="str">
        <f aca="false">IF($D117="","",ROW()-5)</f>
        <v/>
      </c>
      <c r="B117" s="38" t="str">
        <f aca="true">IF($D117="","",NOW())</f>
        <v/>
      </c>
      <c r="C117" s="39"/>
      <c r="D117" s="39"/>
      <c r="E117" s="39"/>
      <c r="F117" s="39"/>
      <c r="G117" s="39"/>
      <c r="H117" s="40"/>
      <c r="I117" s="39"/>
    </row>
    <row r="118" customFormat="false" ht="15" hidden="false" customHeight="false" outlineLevel="0" collapsed="false">
      <c r="A118" s="38" t="str">
        <f aca="false">IF($D118="","",ROW()-5)</f>
        <v/>
      </c>
      <c r="B118" s="38" t="str">
        <f aca="true">IF($D118="","",NOW())</f>
        <v/>
      </c>
      <c r="C118" s="39"/>
      <c r="D118" s="39"/>
      <c r="E118" s="39"/>
      <c r="F118" s="39"/>
      <c r="G118" s="39"/>
      <c r="H118" s="40"/>
      <c r="I118" s="39"/>
    </row>
    <row r="119" customFormat="false" ht="15" hidden="false" customHeight="false" outlineLevel="0" collapsed="false">
      <c r="A119" s="38" t="str">
        <f aca="false">IF($D119="","",ROW()-5)</f>
        <v/>
      </c>
      <c r="B119" s="38" t="str">
        <f aca="true">IF($D119="","",NOW())</f>
        <v/>
      </c>
      <c r="C119" s="39"/>
      <c r="D119" s="39"/>
      <c r="E119" s="39"/>
      <c r="F119" s="39"/>
      <c r="G119" s="39"/>
      <c r="H119" s="40"/>
      <c r="I119" s="39"/>
    </row>
    <row r="120" customFormat="false" ht="15" hidden="false" customHeight="false" outlineLevel="0" collapsed="false">
      <c r="A120" s="38" t="str">
        <f aca="false">IF($D120="","",ROW()-5)</f>
        <v/>
      </c>
      <c r="B120" s="38" t="str">
        <f aca="true">IF($D120="","",NOW())</f>
        <v/>
      </c>
      <c r="C120" s="39"/>
      <c r="D120" s="39"/>
      <c r="E120" s="39"/>
      <c r="F120" s="39"/>
      <c r="G120" s="39"/>
      <c r="H120" s="40"/>
      <c r="I120" s="39"/>
    </row>
    <row r="121" customFormat="false" ht="15" hidden="false" customHeight="false" outlineLevel="0" collapsed="false">
      <c r="A121" s="38" t="str">
        <f aca="false">IF($D121="","",ROW()-5)</f>
        <v/>
      </c>
      <c r="B121" s="38" t="str">
        <f aca="true">IF($D121="","",NOW())</f>
        <v/>
      </c>
      <c r="C121" s="39"/>
      <c r="D121" s="39"/>
      <c r="E121" s="39"/>
      <c r="F121" s="39"/>
      <c r="G121" s="39"/>
      <c r="H121" s="40"/>
      <c r="I121" s="39"/>
    </row>
    <row r="122" customFormat="false" ht="15" hidden="false" customHeight="false" outlineLevel="0" collapsed="false">
      <c r="A122" s="38" t="str">
        <f aca="false">IF($D122="","",ROW()-5)</f>
        <v/>
      </c>
      <c r="B122" s="38" t="str">
        <f aca="true">IF($D122="","",NOW())</f>
        <v/>
      </c>
      <c r="C122" s="39"/>
      <c r="D122" s="39"/>
      <c r="E122" s="39"/>
      <c r="F122" s="39"/>
      <c r="G122" s="39"/>
      <c r="H122" s="40"/>
      <c r="I122" s="39"/>
    </row>
    <row r="123" customFormat="false" ht="15" hidden="false" customHeight="false" outlineLevel="0" collapsed="false">
      <c r="A123" s="38" t="str">
        <f aca="false">IF($D123="","",ROW()-5)</f>
        <v/>
      </c>
      <c r="B123" s="38" t="str">
        <f aca="true">IF($D123="","",NOW())</f>
        <v/>
      </c>
      <c r="C123" s="39"/>
      <c r="D123" s="39"/>
      <c r="E123" s="39"/>
      <c r="F123" s="39"/>
      <c r="G123" s="39"/>
      <c r="H123" s="40"/>
      <c r="I123" s="39"/>
    </row>
    <row r="124" customFormat="false" ht="15" hidden="false" customHeight="false" outlineLevel="0" collapsed="false">
      <c r="A124" s="38" t="str">
        <f aca="false">IF($D124="","",ROW()-5)</f>
        <v/>
      </c>
      <c r="B124" s="38" t="str">
        <f aca="true">IF($D124="","",NOW())</f>
        <v/>
      </c>
      <c r="C124" s="39"/>
      <c r="D124" s="39"/>
      <c r="E124" s="39"/>
      <c r="F124" s="39"/>
      <c r="G124" s="39"/>
      <c r="H124" s="40"/>
      <c r="I124" s="39"/>
    </row>
    <row r="125" customFormat="false" ht="15" hidden="false" customHeight="false" outlineLevel="0" collapsed="false">
      <c r="A125" s="38" t="str">
        <f aca="false">IF($D125="","",ROW()-5)</f>
        <v/>
      </c>
      <c r="B125" s="38" t="str">
        <f aca="true">IF($D125="","",NOW())</f>
        <v/>
      </c>
      <c r="C125" s="39"/>
      <c r="D125" s="39"/>
      <c r="E125" s="39"/>
      <c r="F125" s="39"/>
      <c r="G125" s="39"/>
      <c r="H125" s="40"/>
      <c r="I125" s="39"/>
    </row>
    <row r="126" customFormat="false" ht="15" hidden="false" customHeight="false" outlineLevel="0" collapsed="false">
      <c r="A126" s="38" t="str">
        <f aca="false">IF($D126="","",ROW()-5)</f>
        <v/>
      </c>
      <c r="B126" s="38" t="str">
        <f aca="true">IF($D126="","",NOW())</f>
        <v/>
      </c>
      <c r="C126" s="39"/>
      <c r="D126" s="39"/>
      <c r="E126" s="39"/>
      <c r="F126" s="39"/>
      <c r="G126" s="39"/>
      <c r="H126" s="40"/>
      <c r="I126" s="39"/>
    </row>
    <row r="127" customFormat="false" ht="15" hidden="false" customHeight="false" outlineLevel="0" collapsed="false">
      <c r="A127" s="38" t="str">
        <f aca="false">IF($D127="","",ROW()-5)</f>
        <v/>
      </c>
      <c r="B127" s="38" t="str">
        <f aca="true">IF($D127="","",NOW())</f>
        <v/>
      </c>
      <c r="C127" s="39"/>
      <c r="D127" s="39"/>
      <c r="E127" s="39"/>
      <c r="F127" s="39"/>
      <c r="G127" s="39"/>
      <c r="H127" s="40"/>
      <c r="I127" s="39"/>
    </row>
    <row r="128" customFormat="false" ht="15" hidden="false" customHeight="false" outlineLevel="0" collapsed="false">
      <c r="A128" s="38" t="str">
        <f aca="false">IF($D128="","",ROW()-5)</f>
        <v/>
      </c>
      <c r="B128" s="38" t="str">
        <f aca="true">IF($D128="","",NOW())</f>
        <v/>
      </c>
      <c r="C128" s="39"/>
      <c r="D128" s="39"/>
      <c r="E128" s="39"/>
      <c r="F128" s="39"/>
      <c r="G128" s="39"/>
      <c r="H128" s="40"/>
      <c r="I128" s="39"/>
    </row>
    <row r="129" customFormat="false" ht="15" hidden="false" customHeight="false" outlineLevel="0" collapsed="false">
      <c r="A129" s="38" t="str">
        <f aca="false">IF($D129="","",ROW()-5)</f>
        <v/>
      </c>
      <c r="B129" s="38" t="str">
        <f aca="true">IF($D129="","",NOW())</f>
        <v/>
      </c>
      <c r="C129" s="39"/>
      <c r="D129" s="39"/>
      <c r="E129" s="39"/>
      <c r="F129" s="39"/>
      <c r="G129" s="39"/>
      <c r="H129" s="40"/>
      <c r="I129" s="39"/>
    </row>
    <row r="130" customFormat="false" ht="15" hidden="false" customHeight="false" outlineLevel="0" collapsed="false">
      <c r="A130" s="38" t="str">
        <f aca="false">IF($D130="","",ROW()-5)</f>
        <v/>
      </c>
      <c r="B130" s="38" t="str">
        <f aca="true">IF($D130="","",NOW())</f>
        <v/>
      </c>
      <c r="C130" s="39"/>
      <c r="D130" s="39"/>
      <c r="E130" s="39"/>
      <c r="F130" s="39"/>
      <c r="G130" s="39"/>
      <c r="H130" s="40"/>
      <c r="I130" s="39"/>
    </row>
    <row r="131" customFormat="false" ht="15" hidden="false" customHeight="false" outlineLevel="0" collapsed="false">
      <c r="A131" s="38" t="str">
        <f aca="false">IF($D131="","",ROW()-5)</f>
        <v/>
      </c>
      <c r="B131" s="38" t="str">
        <f aca="true">IF($D131="","",NOW())</f>
        <v/>
      </c>
      <c r="C131" s="39"/>
      <c r="D131" s="39"/>
      <c r="E131" s="39"/>
      <c r="F131" s="39"/>
      <c r="G131" s="39"/>
      <c r="H131" s="40"/>
      <c r="I131" s="39"/>
    </row>
    <row r="132" customFormat="false" ht="15" hidden="false" customHeight="false" outlineLevel="0" collapsed="false">
      <c r="A132" s="38" t="str">
        <f aca="false">IF($D132="","",ROW()-5)</f>
        <v/>
      </c>
      <c r="B132" s="38" t="str">
        <f aca="true">IF($D132="","",NOW())</f>
        <v/>
      </c>
      <c r="C132" s="39"/>
      <c r="D132" s="39"/>
      <c r="E132" s="39"/>
      <c r="F132" s="39"/>
      <c r="G132" s="39"/>
      <c r="H132" s="40"/>
      <c r="I132" s="39"/>
    </row>
    <row r="133" customFormat="false" ht="15" hidden="false" customHeight="false" outlineLevel="0" collapsed="false">
      <c r="A133" s="38" t="str">
        <f aca="false">IF($D133="","",ROW()-5)</f>
        <v/>
      </c>
      <c r="B133" s="38" t="str">
        <f aca="true">IF($D133="","",NOW())</f>
        <v/>
      </c>
      <c r="C133" s="39"/>
      <c r="D133" s="39"/>
      <c r="E133" s="39"/>
      <c r="F133" s="39"/>
      <c r="G133" s="39"/>
      <c r="H133" s="40"/>
      <c r="I133" s="39"/>
    </row>
    <row r="134" customFormat="false" ht="15" hidden="false" customHeight="false" outlineLevel="0" collapsed="false">
      <c r="A134" s="38" t="str">
        <f aca="false">IF($D134="","",ROW()-5)</f>
        <v/>
      </c>
      <c r="B134" s="38" t="str">
        <f aca="true">IF($D134="","",NOW())</f>
        <v/>
      </c>
      <c r="C134" s="39"/>
      <c r="D134" s="39"/>
      <c r="E134" s="39"/>
      <c r="F134" s="39"/>
      <c r="G134" s="39"/>
      <c r="H134" s="40"/>
      <c r="I134" s="39"/>
    </row>
    <row r="135" customFormat="false" ht="15" hidden="false" customHeight="false" outlineLevel="0" collapsed="false">
      <c r="A135" s="38" t="str">
        <f aca="false">IF($D135="","",ROW()-5)</f>
        <v/>
      </c>
      <c r="B135" s="38" t="str">
        <f aca="true">IF($D135="","",NOW())</f>
        <v/>
      </c>
      <c r="C135" s="39"/>
      <c r="D135" s="39"/>
      <c r="E135" s="39"/>
      <c r="F135" s="39"/>
      <c r="G135" s="39"/>
      <c r="H135" s="40"/>
      <c r="I135" s="39"/>
    </row>
    <row r="136" customFormat="false" ht="15" hidden="false" customHeight="false" outlineLevel="0" collapsed="false">
      <c r="A136" s="38" t="str">
        <f aca="false">IF($D136="","",ROW()-5)</f>
        <v/>
      </c>
      <c r="B136" s="38" t="str">
        <f aca="true">IF($D136="","",NOW())</f>
        <v/>
      </c>
      <c r="C136" s="39"/>
      <c r="D136" s="39"/>
      <c r="E136" s="39"/>
      <c r="F136" s="39"/>
      <c r="G136" s="39"/>
      <c r="H136" s="40"/>
      <c r="I136" s="39"/>
    </row>
    <row r="137" customFormat="false" ht="15" hidden="false" customHeight="false" outlineLevel="0" collapsed="false">
      <c r="A137" s="38" t="str">
        <f aca="false">IF($D137="","",ROW()-5)</f>
        <v/>
      </c>
      <c r="B137" s="38" t="str">
        <f aca="true">IF($D137="","",NOW())</f>
        <v/>
      </c>
      <c r="C137" s="39"/>
      <c r="D137" s="39"/>
      <c r="E137" s="39"/>
      <c r="F137" s="39"/>
      <c r="G137" s="39"/>
      <c r="H137" s="40"/>
      <c r="I137" s="39"/>
    </row>
    <row r="138" customFormat="false" ht="15" hidden="false" customHeight="false" outlineLevel="0" collapsed="false">
      <c r="A138" s="38" t="str">
        <f aca="false">IF($D138="","",ROW()-5)</f>
        <v/>
      </c>
      <c r="B138" s="38" t="str">
        <f aca="true">IF($D138="","",NOW())</f>
        <v/>
      </c>
      <c r="C138" s="39"/>
      <c r="D138" s="39"/>
      <c r="E138" s="39"/>
      <c r="F138" s="39"/>
      <c r="G138" s="39"/>
      <c r="H138" s="40"/>
      <c r="I138" s="39"/>
    </row>
    <row r="139" customFormat="false" ht="15" hidden="false" customHeight="false" outlineLevel="0" collapsed="false">
      <c r="A139" s="38" t="str">
        <f aca="false">IF($D139="","",ROW()-5)</f>
        <v/>
      </c>
      <c r="B139" s="38" t="str">
        <f aca="true">IF($D139="","",NOW())</f>
        <v/>
      </c>
      <c r="C139" s="39"/>
      <c r="D139" s="39"/>
      <c r="E139" s="39"/>
      <c r="F139" s="39"/>
      <c r="G139" s="39"/>
      <c r="H139" s="40"/>
      <c r="I139" s="39"/>
    </row>
    <row r="140" customFormat="false" ht="15" hidden="false" customHeight="false" outlineLevel="0" collapsed="false">
      <c r="A140" s="38" t="str">
        <f aca="false">IF($D140="","",ROW()-5)</f>
        <v/>
      </c>
      <c r="B140" s="38" t="str">
        <f aca="true">IF($D140="","",NOW())</f>
        <v/>
      </c>
      <c r="C140" s="39"/>
      <c r="D140" s="39"/>
      <c r="E140" s="39"/>
      <c r="F140" s="39"/>
      <c r="G140" s="39"/>
      <c r="H140" s="40"/>
      <c r="I140" s="39"/>
    </row>
    <row r="141" customFormat="false" ht="15" hidden="false" customHeight="false" outlineLevel="0" collapsed="false">
      <c r="A141" s="38" t="str">
        <f aca="false">IF($D141="","",ROW()-5)</f>
        <v/>
      </c>
      <c r="B141" s="38" t="str">
        <f aca="true">IF($D141="","",NOW())</f>
        <v/>
      </c>
      <c r="C141" s="39"/>
      <c r="D141" s="39"/>
      <c r="E141" s="39"/>
      <c r="F141" s="39"/>
      <c r="G141" s="39"/>
      <c r="H141" s="40"/>
      <c r="I141" s="39"/>
    </row>
    <row r="142" customFormat="false" ht="15" hidden="false" customHeight="false" outlineLevel="0" collapsed="false">
      <c r="A142" s="38" t="str">
        <f aca="false">IF($D142="","",ROW()-5)</f>
        <v/>
      </c>
      <c r="B142" s="38" t="str">
        <f aca="true">IF($D142="","",NOW())</f>
        <v/>
      </c>
      <c r="C142" s="39"/>
      <c r="D142" s="39"/>
      <c r="E142" s="39"/>
      <c r="F142" s="39"/>
      <c r="G142" s="39"/>
      <c r="H142" s="40"/>
      <c r="I142" s="39"/>
    </row>
    <row r="143" customFormat="false" ht="15" hidden="false" customHeight="false" outlineLevel="0" collapsed="false">
      <c r="A143" s="38" t="str">
        <f aca="false">IF($D143="","",ROW()-5)</f>
        <v/>
      </c>
      <c r="B143" s="38" t="str">
        <f aca="true">IF($D143="","",NOW())</f>
        <v/>
      </c>
      <c r="C143" s="39"/>
      <c r="D143" s="39"/>
      <c r="E143" s="39"/>
      <c r="F143" s="39"/>
      <c r="G143" s="39"/>
      <c r="H143" s="40"/>
      <c r="I143" s="39"/>
    </row>
    <row r="144" customFormat="false" ht="15" hidden="false" customHeight="false" outlineLevel="0" collapsed="false">
      <c r="A144" s="38" t="str">
        <f aca="false">IF($D144="","",ROW()-5)</f>
        <v/>
      </c>
      <c r="B144" s="38" t="str">
        <f aca="true">IF($D144="","",NOW())</f>
        <v/>
      </c>
      <c r="C144" s="39"/>
      <c r="D144" s="39"/>
      <c r="E144" s="39"/>
      <c r="F144" s="39"/>
      <c r="G144" s="39"/>
      <c r="H144" s="40"/>
      <c r="I144" s="39"/>
    </row>
    <row r="145" customFormat="false" ht="15" hidden="false" customHeight="false" outlineLevel="0" collapsed="false">
      <c r="A145" s="38" t="str">
        <f aca="false">IF($D145="","",ROW()-5)</f>
        <v/>
      </c>
      <c r="B145" s="38" t="str">
        <f aca="true">IF($D145="","",NOW())</f>
        <v/>
      </c>
      <c r="C145" s="39"/>
      <c r="D145" s="39"/>
      <c r="E145" s="39"/>
      <c r="F145" s="39"/>
      <c r="G145" s="39"/>
      <c r="H145" s="40"/>
      <c r="I145" s="39"/>
    </row>
    <row r="146" customFormat="false" ht="15" hidden="false" customHeight="false" outlineLevel="0" collapsed="false">
      <c r="A146" s="38" t="str">
        <f aca="false">IF($D146="","",ROW()-5)</f>
        <v/>
      </c>
      <c r="B146" s="38" t="str">
        <f aca="true">IF($D146="","",NOW())</f>
        <v/>
      </c>
      <c r="C146" s="39"/>
      <c r="D146" s="39"/>
      <c r="E146" s="39"/>
      <c r="F146" s="39"/>
      <c r="G146" s="39"/>
      <c r="H146" s="40"/>
      <c r="I146" s="39"/>
    </row>
    <row r="147" customFormat="false" ht="15" hidden="false" customHeight="false" outlineLevel="0" collapsed="false">
      <c r="A147" s="38" t="str">
        <f aca="false">IF($D147="","",ROW()-5)</f>
        <v/>
      </c>
      <c r="B147" s="38" t="str">
        <f aca="true">IF($D147="","",NOW())</f>
        <v/>
      </c>
      <c r="C147" s="39"/>
      <c r="D147" s="39"/>
      <c r="E147" s="39"/>
      <c r="F147" s="39"/>
      <c r="G147" s="39"/>
      <c r="H147" s="40"/>
      <c r="I147" s="39"/>
    </row>
    <row r="148" customFormat="false" ht="15" hidden="false" customHeight="false" outlineLevel="0" collapsed="false">
      <c r="A148" s="38" t="str">
        <f aca="false">IF($D148="","",ROW()-5)</f>
        <v/>
      </c>
      <c r="B148" s="38" t="str">
        <f aca="true">IF($D148="","",NOW())</f>
        <v/>
      </c>
      <c r="C148" s="39"/>
      <c r="D148" s="39"/>
      <c r="E148" s="39"/>
      <c r="F148" s="39"/>
      <c r="G148" s="39"/>
      <c r="H148" s="40"/>
      <c r="I148" s="39"/>
    </row>
    <row r="149" customFormat="false" ht="15" hidden="false" customHeight="false" outlineLevel="0" collapsed="false">
      <c r="A149" s="38" t="str">
        <f aca="false">IF($D149="","",ROW()-5)</f>
        <v/>
      </c>
      <c r="B149" s="38" t="str">
        <f aca="true">IF($D149="","",NOW())</f>
        <v/>
      </c>
      <c r="C149" s="39"/>
      <c r="D149" s="39"/>
      <c r="E149" s="39"/>
      <c r="F149" s="39"/>
      <c r="G149" s="39"/>
      <c r="H149" s="40"/>
      <c r="I149" s="39"/>
    </row>
    <row r="150" customFormat="false" ht="15" hidden="false" customHeight="false" outlineLevel="0" collapsed="false">
      <c r="A150" s="38" t="str">
        <f aca="false">IF($D150="","",ROW()-5)</f>
        <v/>
      </c>
      <c r="B150" s="38" t="str">
        <f aca="true">IF($D150="","",NOW())</f>
        <v/>
      </c>
      <c r="C150" s="39"/>
      <c r="D150" s="39"/>
      <c r="E150" s="39"/>
      <c r="F150" s="39"/>
      <c r="G150" s="39"/>
      <c r="H150" s="40"/>
      <c r="I150" s="39"/>
    </row>
    <row r="151" customFormat="false" ht="15" hidden="false" customHeight="false" outlineLevel="0" collapsed="false">
      <c r="A151" s="38" t="str">
        <f aca="false">IF($D151="","",ROW()-5)</f>
        <v/>
      </c>
      <c r="B151" s="38" t="str">
        <f aca="true">IF($D151="","",NOW())</f>
        <v/>
      </c>
      <c r="C151" s="39"/>
      <c r="D151" s="39"/>
      <c r="E151" s="39"/>
      <c r="F151" s="39"/>
      <c r="G151" s="39"/>
      <c r="H151" s="40"/>
      <c r="I151" s="39"/>
    </row>
    <row r="152" customFormat="false" ht="15" hidden="false" customHeight="false" outlineLevel="0" collapsed="false">
      <c r="A152" s="38" t="str">
        <f aca="false">IF($D152="","",ROW()-5)</f>
        <v/>
      </c>
      <c r="B152" s="38" t="str">
        <f aca="true">IF($D152="","",NOW())</f>
        <v/>
      </c>
      <c r="C152" s="39"/>
      <c r="D152" s="39"/>
      <c r="E152" s="39"/>
      <c r="F152" s="39"/>
      <c r="G152" s="39"/>
      <c r="H152" s="40"/>
      <c r="I152" s="39"/>
    </row>
    <row r="153" customFormat="false" ht="15" hidden="false" customHeight="false" outlineLevel="0" collapsed="false">
      <c r="A153" s="38" t="str">
        <f aca="false">IF($D153="","",ROW()-5)</f>
        <v/>
      </c>
      <c r="B153" s="38" t="str">
        <f aca="true">IF($D153="","",NOW())</f>
        <v/>
      </c>
      <c r="C153" s="39"/>
      <c r="D153" s="39"/>
      <c r="E153" s="39"/>
      <c r="F153" s="39"/>
      <c r="G153" s="39"/>
      <c r="H153" s="40"/>
      <c r="I153" s="39"/>
    </row>
    <row r="154" customFormat="false" ht="15" hidden="false" customHeight="false" outlineLevel="0" collapsed="false">
      <c r="A154" s="38" t="str">
        <f aca="false">IF($D154="","",ROW()-5)</f>
        <v/>
      </c>
      <c r="B154" s="38" t="str">
        <f aca="true">IF($D154="","",NOW())</f>
        <v/>
      </c>
      <c r="C154" s="39"/>
      <c r="D154" s="39"/>
      <c r="E154" s="39"/>
      <c r="F154" s="39"/>
      <c r="G154" s="39"/>
      <c r="H154" s="40"/>
      <c r="I154" s="39"/>
    </row>
    <row r="155" customFormat="false" ht="15" hidden="false" customHeight="false" outlineLevel="0" collapsed="false">
      <c r="A155" s="38" t="str">
        <f aca="false">IF($D155="","",ROW()-5)</f>
        <v/>
      </c>
      <c r="B155" s="38" t="str">
        <f aca="true">IF($D155="","",NOW())</f>
        <v/>
      </c>
      <c r="C155" s="39"/>
      <c r="D155" s="39"/>
      <c r="E155" s="39"/>
      <c r="F155" s="39"/>
      <c r="G155" s="39"/>
      <c r="H155" s="40"/>
      <c r="I155" s="39"/>
    </row>
    <row r="156" customFormat="false" ht="15" hidden="false" customHeight="false" outlineLevel="0" collapsed="false">
      <c r="A156" s="38" t="str">
        <f aca="false">IF($D156="","",ROW()-5)</f>
        <v/>
      </c>
      <c r="B156" s="38" t="str">
        <f aca="true">IF($D156="","",NOW())</f>
        <v/>
      </c>
      <c r="C156" s="39"/>
      <c r="D156" s="39"/>
      <c r="E156" s="39"/>
      <c r="F156" s="39"/>
      <c r="G156" s="39"/>
      <c r="H156" s="40"/>
      <c r="I156" s="39"/>
    </row>
    <row r="157" customFormat="false" ht="15" hidden="false" customHeight="false" outlineLevel="0" collapsed="false">
      <c r="A157" s="38" t="str">
        <f aca="false">IF($D157="","",ROW()-5)</f>
        <v/>
      </c>
      <c r="B157" s="38" t="str">
        <f aca="true">IF($D157="","",NOW())</f>
        <v/>
      </c>
      <c r="C157" s="39"/>
      <c r="D157" s="39"/>
      <c r="E157" s="39"/>
      <c r="F157" s="39"/>
      <c r="G157" s="39"/>
      <c r="H157" s="40"/>
      <c r="I157" s="39"/>
    </row>
    <row r="158" customFormat="false" ht="15" hidden="false" customHeight="false" outlineLevel="0" collapsed="false">
      <c r="A158" s="38" t="str">
        <f aca="false">IF($D158="","",ROW()-5)</f>
        <v/>
      </c>
      <c r="B158" s="38" t="str">
        <f aca="true">IF($D158="","",NOW())</f>
        <v/>
      </c>
      <c r="C158" s="39"/>
      <c r="D158" s="39"/>
      <c r="E158" s="39"/>
      <c r="F158" s="39"/>
      <c r="G158" s="39"/>
      <c r="H158" s="40"/>
      <c r="I158" s="39"/>
    </row>
    <row r="159" customFormat="false" ht="15" hidden="false" customHeight="false" outlineLevel="0" collapsed="false">
      <c r="A159" s="38" t="str">
        <f aca="false">IF($D159="","",ROW()-5)</f>
        <v/>
      </c>
      <c r="B159" s="38" t="str">
        <f aca="true">IF($D159="","",NOW())</f>
        <v/>
      </c>
      <c r="C159" s="39"/>
      <c r="D159" s="39"/>
      <c r="E159" s="39"/>
      <c r="F159" s="39"/>
      <c r="G159" s="39"/>
      <c r="H159" s="40"/>
      <c r="I159" s="39"/>
    </row>
    <row r="160" customFormat="false" ht="15" hidden="false" customHeight="false" outlineLevel="0" collapsed="false">
      <c r="A160" s="38" t="str">
        <f aca="false">IF($D160="","",ROW()-5)</f>
        <v/>
      </c>
      <c r="B160" s="38" t="str">
        <f aca="true">IF($D160="","",NOW())</f>
        <v/>
      </c>
      <c r="C160" s="39"/>
      <c r="D160" s="39"/>
      <c r="E160" s="39"/>
      <c r="F160" s="39"/>
      <c r="G160" s="39"/>
      <c r="H160" s="40"/>
      <c r="I160" s="39"/>
    </row>
    <row r="161" customFormat="false" ht="15" hidden="false" customHeight="false" outlineLevel="0" collapsed="false">
      <c r="A161" s="38" t="str">
        <f aca="false">IF($D161="","",ROW()-5)</f>
        <v/>
      </c>
      <c r="B161" s="38" t="str">
        <f aca="true">IF($D161="","",NOW())</f>
        <v/>
      </c>
      <c r="C161" s="39"/>
      <c r="D161" s="39"/>
      <c r="E161" s="39"/>
      <c r="F161" s="39"/>
      <c r="G161" s="39"/>
      <c r="H161" s="40"/>
      <c r="I161" s="39"/>
    </row>
    <row r="162" customFormat="false" ht="15" hidden="false" customHeight="false" outlineLevel="0" collapsed="false">
      <c r="A162" s="38" t="str">
        <f aca="false">IF($D162="","",ROW()-5)</f>
        <v/>
      </c>
      <c r="B162" s="38" t="str">
        <f aca="true">IF($D162="","",NOW())</f>
        <v/>
      </c>
      <c r="C162" s="39"/>
      <c r="D162" s="39"/>
      <c r="E162" s="39"/>
      <c r="F162" s="39"/>
      <c r="G162" s="39"/>
      <c r="H162" s="40"/>
      <c r="I162" s="39"/>
    </row>
    <row r="163" customFormat="false" ht="15" hidden="false" customHeight="false" outlineLevel="0" collapsed="false">
      <c r="A163" s="38" t="str">
        <f aca="false">IF($D163="","",ROW()-5)</f>
        <v/>
      </c>
      <c r="B163" s="38" t="str">
        <f aca="true">IF($D163="","",NOW())</f>
        <v/>
      </c>
      <c r="C163" s="39"/>
      <c r="D163" s="39"/>
      <c r="E163" s="39"/>
      <c r="F163" s="39"/>
      <c r="G163" s="39"/>
      <c r="H163" s="40"/>
      <c r="I163" s="39"/>
    </row>
    <row r="164" customFormat="false" ht="15" hidden="false" customHeight="false" outlineLevel="0" collapsed="false">
      <c r="A164" s="38" t="str">
        <f aca="false">IF($D164="","",ROW()-5)</f>
        <v/>
      </c>
      <c r="B164" s="38" t="str">
        <f aca="true">IF($D164="","",NOW())</f>
        <v/>
      </c>
      <c r="C164" s="39"/>
      <c r="D164" s="39"/>
      <c r="E164" s="39"/>
      <c r="F164" s="39"/>
      <c r="G164" s="39"/>
      <c r="H164" s="40"/>
      <c r="I164" s="39"/>
    </row>
    <row r="165" customFormat="false" ht="15" hidden="false" customHeight="false" outlineLevel="0" collapsed="false">
      <c r="A165" s="38" t="str">
        <f aca="false">IF($D165="","",ROW()-5)</f>
        <v/>
      </c>
      <c r="B165" s="38" t="str">
        <f aca="true">IF($D165="","",NOW())</f>
        <v/>
      </c>
      <c r="C165" s="39"/>
      <c r="D165" s="39"/>
      <c r="E165" s="39"/>
      <c r="F165" s="39"/>
      <c r="G165" s="39"/>
      <c r="H165" s="40"/>
      <c r="I165" s="39"/>
    </row>
    <row r="166" customFormat="false" ht="15" hidden="false" customHeight="false" outlineLevel="0" collapsed="false">
      <c r="A166" s="38" t="str">
        <f aca="false">IF($D166="","",ROW()-5)</f>
        <v/>
      </c>
      <c r="B166" s="38" t="str">
        <f aca="true">IF($D166="","",NOW())</f>
        <v/>
      </c>
      <c r="C166" s="39"/>
      <c r="D166" s="39"/>
      <c r="E166" s="39"/>
      <c r="F166" s="39"/>
      <c r="G166" s="39"/>
      <c r="H166" s="40"/>
      <c r="I166" s="39"/>
    </row>
    <row r="167" customFormat="false" ht="15" hidden="false" customHeight="false" outlineLevel="0" collapsed="false">
      <c r="A167" s="38" t="str">
        <f aca="false">IF($D167="","",ROW()-5)</f>
        <v/>
      </c>
      <c r="B167" s="38" t="str">
        <f aca="true">IF($D167="","",NOW())</f>
        <v/>
      </c>
      <c r="C167" s="39"/>
      <c r="D167" s="39"/>
      <c r="E167" s="39"/>
      <c r="F167" s="39"/>
      <c r="G167" s="39"/>
      <c r="H167" s="40"/>
      <c r="I167" s="39"/>
    </row>
    <row r="168" customFormat="false" ht="15" hidden="false" customHeight="false" outlineLevel="0" collapsed="false">
      <c r="A168" s="38" t="str">
        <f aca="false">IF($D168="","",ROW()-5)</f>
        <v/>
      </c>
      <c r="B168" s="38" t="str">
        <f aca="true">IF($D168="","",NOW())</f>
        <v/>
      </c>
      <c r="C168" s="39"/>
      <c r="D168" s="39"/>
      <c r="E168" s="39"/>
      <c r="F168" s="39"/>
      <c r="G168" s="39"/>
      <c r="H168" s="40"/>
      <c r="I168" s="39"/>
    </row>
    <row r="169" customFormat="false" ht="15" hidden="false" customHeight="false" outlineLevel="0" collapsed="false">
      <c r="A169" s="38" t="str">
        <f aca="false">IF($D169="","",ROW()-5)</f>
        <v/>
      </c>
      <c r="B169" s="38" t="str">
        <f aca="true">IF($D169="","",NOW())</f>
        <v/>
      </c>
      <c r="C169" s="39"/>
      <c r="D169" s="39"/>
      <c r="E169" s="39"/>
      <c r="F169" s="39"/>
      <c r="G169" s="39"/>
      <c r="H169" s="40"/>
      <c r="I169" s="39"/>
    </row>
    <row r="170" customFormat="false" ht="15" hidden="false" customHeight="false" outlineLevel="0" collapsed="false">
      <c r="A170" s="38" t="str">
        <f aca="false">IF($D170="","",ROW()-5)</f>
        <v/>
      </c>
      <c r="B170" s="38" t="str">
        <f aca="true">IF($D170="","",NOW())</f>
        <v/>
      </c>
      <c r="C170" s="39"/>
      <c r="D170" s="39"/>
      <c r="E170" s="39"/>
      <c r="F170" s="39"/>
      <c r="G170" s="39"/>
      <c r="H170" s="40"/>
      <c r="I170" s="39"/>
    </row>
    <row r="171" customFormat="false" ht="15" hidden="false" customHeight="false" outlineLevel="0" collapsed="false">
      <c r="A171" s="38" t="str">
        <f aca="false">IF($D171="","",ROW()-5)</f>
        <v/>
      </c>
      <c r="B171" s="38" t="str">
        <f aca="true">IF($D171="","",NOW())</f>
        <v/>
      </c>
      <c r="C171" s="39"/>
      <c r="D171" s="39"/>
      <c r="E171" s="39"/>
      <c r="F171" s="39"/>
      <c r="G171" s="39"/>
      <c r="H171" s="40"/>
      <c r="I171" s="39"/>
    </row>
    <row r="172" customFormat="false" ht="15" hidden="false" customHeight="false" outlineLevel="0" collapsed="false">
      <c r="A172" s="38" t="str">
        <f aca="false">IF($D172="","",ROW()-5)</f>
        <v/>
      </c>
      <c r="B172" s="38" t="str">
        <f aca="true">IF($D172="","",NOW())</f>
        <v/>
      </c>
      <c r="C172" s="39"/>
      <c r="D172" s="39"/>
      <c r="E172" s="39"/>
      <c r="F172" s="39"/>
      <c r="G172" s="39"/>
      <c r="H172" s="40"/>
      <c r="I172" s="39"/>
    </row>
    <row r="173" customFormat="false" ht="15" hidden="false" customHeight="false" outlineLevel="0" collapsed="false">
      <c r="A173" s="38" t="str">
        <f aca="false">IF($D173="","",ROW()-5)</f>
        <v/>
      </c>
      <c r="B173" s="38" t="str">
        <f aca="true">IF($D173="","",NOW())</f>
        <v/>
      </c>
      <c r="C173" s="39"/>
      <c r="D173" s="39"/>
      <c r="E173" s="39"/>
      <c r="F173" s="39"/>
      <c r="G173" s="39"/>
      <c r="H173" s="40"/>
      <c r="I173" s="39"/>
    </row>
    <row r="174" customFormat="false" ht="15" hidden="false" customHeight="false" outlineLevel="0" collapsed="false">
      <c r="A174" s="38" t="str">
        <f aca="false">IF($D174="","",ROW()-5)</f>
        <v/>
      </c>
      <c r="B174" s="38" t="str">
        <f aca="true">IF($D174="","",NOW())</f>
        <v/>
      </c>
      <c r="C174" s="39"/>
      <c r="D174" s="39"/>
      <c r="E174" s="39"/>
      <c r="F174" s="39"/>
      <c r="G174" s="39"/>
      <c r="H174" s="40"/>
      <c r="I174" s="39"/>
    </row>
    <row r="175" customFormat="false" ht="15" hidden="false" customHeight="false" outlineLevel="0" collapsed="false">
      <c r="A175" s="38" t="str">
        <f aca="false">IF($D175="","",ROW()-5)</f>
        <v/>
      </c>
      <c r="B175" s="38" t="str">
        <f aca="true">IF($D175="","",NOW())</f>
        <v/>
      </c>
      <c r="C175" s="39"/>
      <c r="D175" s="39"/>
      <c r="E175" s="39"/>
      <c r="F175" s="39"/>
      <c r="G175" s="39"/>
      <c r="H175" s="40"/>
      <c r="I175" s="39"/>
    </row>
    <row r="176" customFormat="false" ht="15" hidden="false" customHeight="false" outlineLevel="0" collapsed="false">
      <c r="A176" s="38" t="str">
        <f aca="false">IF($D176="","",ROW()-5)</f>
        <v/>
      </c>
      <c r="B176" s="38" t="str">
        <f aca="true">IF($D176="","",NOW())</f>
        <v/>
      </c>
      <c r="C176" s="39"/>
      <c r="D176" s="39"/>
      <c r="E176" s="39"/>
      <c r="F176" s="39"/>
      <c r="G176" s="39"/>
      <c r="H176" s="40"/>
      <c r="I176" s="39"/>
    </row>
    <row r="177" customFormat="false" ht="15" hidden="false" customHeight="false" outlineLevel="0" collapsed="false">
      <c r="A177" s="38" t="str">
        <f aca="false">IF($D177="","",ROW()-5)</f>
        <v/>
      </c>
      <c r="B177" s="38" t="str">
        <f aca="true">IF($D177="","",NOW())</f>
        <v/>
      </c>
      <c r="C177" s="39"/>
      <c r="D177" s="39"/>
      <c r="E177" s="39"/>
      <c r="F177" s="39"/>
      <c r="G177" s="39"/>
      <c r="H177" s="40"/>
      <c r="I177" s="39"/>
    </row>
    <row r="178" customFormat="false" ht="15" hidden="false" customHeight="false" outlineLevel="0" collapsed="false">
      <c r="A178" s="38" t="str">
        <f aca="false">IF($D178="","",ROW()-5)</f>
        <v/>
      </c>
      <c r="B178" s="38" t="str">
        <f aca="true">IF($D178="","",NOW())</f>
        <v/>
      </c>
      <c r="C178" s="39"/>
      <c r="D178" s="39"/>
      <c r="E178" s="39"/>
      <c r="F178" s="39"/>
      <c r="G178" s="39"/>
      <c r="H178" s="40"/>
      <c r="I178" s="39"/>
    </row>
    <row r="179" customFormat="false" ht="15" hidden="false" customHeight="false" outlineLevel="0" collapsed="false">
      <c r="A179" s="38" t="str">
        <f aca="false">IF($D179="","",ROW()-5)</f>
        <v/>
      </c>
      <c r="B179" s="38" t="str">
        <f aca="true">IF($D179="","",NOW())</f>
        <v/>
      </c>
      <c r="C179" s="39"/>
      <c r="D179" s="39"/>
      <c r="E179" s="39"/>
      <c r="F179" s="39"/>
      <c r="G179" s="39"/>
      <c r="H179" s="40"/>
      <c r="I179" s="39"/>
    </row>
    <row r="180" customFormat="false" ht="15" hidden="false" customHeight="false" outlineLevel="0" collapsed="false">
      <c r="A180" s="38" t="str">
        <f aca="false">IF($D180="","",ROW()-5)</f>
        <v/>
      </c>
      <c r="B180" s="38" t="str">
        <f aca="true">IF($D180="","",NOW())</f>
        <v/>
      </c>
      <c r="C180" s="39"/>
      <c r="D180" s="39"/>
      <c r="E180" s="39"/>
      <c r="F180" s="39"/>
      <c r="G180" s="39"/>
      <c r="H180" s="40"/>
      <c r="I180" s="39"/>
    </row>
    <row r="181" customFormat="false" ht="15" hidden="false" customHeight="false" outlineLevel="0" collapsed="false">
      <c r="A181" s="38" t="str">
        <f aca="false">IF($D181="","",ROW()-5)</f>
        <v/>
      </c>
      <c r="B181" s="38" t="str">
        <f aca="true">IF($D181="","",NOW())</f>
        <v/>
      </c>
      <c r="C181" s="39"/>
      <c r="D181" s="39"/>
      <c r="E181" s="39"/>
      <c r="F181" s="39"/>
      <c r="G181" s="39"/>
      <c r="H181" s="40"/>
      <c r="I181" s="39"/>
    </row>
    <row r="182" customFormat="false" ht="15" hidden="false" customHeight="false" outlineLevel="0" collapsed="false">
      <c r="A182" s="38" t="str">
        <f aca="false">IF($D182="","",ROW()-5)</f>
        <v/>
      </c>
      <c r="B182" s="38" t="str">
        <f aca="true">IF($D182="","",NOW())</f>
        <v/>
      </c>
      <c r="C182" s="39"/>
      <c r="D182" s="39"/>
      <c r="E182" s="39"/>
      <c r="F182" s="39"/>
      <c r="G182" s="39"/>
      <c r="H182" s="40"/>
      <c r="I182" s="39"/>
    </row>
    <row r="183" customFormat="false" ht="15" hidden="false" customHeight="false" outlineLevel="0" collapsed="false">
      <c r="A183" s="38" t="str">
        <f aca="false">IF($D183="","",ROW()-5)</f>
        <v/>
      </c>
      <c r="B183" s="38" t="str">
        <f aca="true">IF($D183="","",NOW())</f>
        <v/>
      </c>
      <c r="C183" s="39"/>
      <c r="D183" s="39"/>
      <c r="E183" s="39"/>
      <c r="F183" s="39"/>
      <c r="G183" s="39"/>
      <c r="H183" s="40"/>
      <c r="I183" s="39"/>
    </row>
    <row r="184" customFormat="false" ht="15" hidden="false" customHeight="false" outlineLevel="0" collapsed="false">
      <c r="A184" s="38" t="str">
        <f aca="false">IF($D184="","",ROW()-5)</f>
        <v/>
      </c>
      <c r="B184" s="38" t="str">
        <f aca="true">IF($D184="","",NOW())</f>
        <v/>
      </c>
      <c r="C184" s="39"/>
      <c r="D184" s="39"/>
      <c r="E184" s="39"/>
      <c r="F184" s="39"/>
      <c r="G184" s="39"/>
      <c r="H184" s="40"/>
      <c r="I184" s="39"/>
    </row>
    <row r="185" customFormat="false" ht="15" hidden="false" customHeight="false" outlineLevel="0" collapsed="false">
      <c r="A185" s="38" t="str">
        <f aca="false">IF($D185="","",ROW()-5)</f>
        <v/>
      </c>
      <c r="B185" s="38" t="str">
        <f aca="true">IF($D185="","",NOW())</f>
        <v/>
      </c>
      <c r="C185" s="39"/>
      <c r="D185" s="39"/>
      <c r="E185" s="39"/>
      <c r="F185" s="39"/>
      <c r="G185" s="39"/>
      <c r="H185" s="40"/>
      <c r="I185" s="39"/>
    </row>
    <row r="186" customFormat="false" ht="15" hidden="false" customHeight="false" outlineLevel="0" collapsed="false">
      <c r="A186" s="38" t="str">
        <f aca="false">IF($D186="","",ROW()-5)</f>
        <v/>
      </c>
      <c r="B186" s="38" t="str">
        <f aca="true">IF($D186="","",NOW())</f>
        <v/>
      </c>
      <c r="C186" s="39"/>
      <c r="D186" s="39"/>
      <c r="E186" s="39"/>
      <c r="F186" s="39"/>
      <c r="G186" s="39"/>
      <c r="H186" s="40"/>
      <c r="I186" s="39"/>
    </row>
    <row r="187" customFormat="false" ht="15" hidden="false" customHeight="false" outlineLevel="0" collapsed="false">
      <c r="A187" s="38" t="str">
        <f aca="false">IF($D187="","",ROW()-5)</f>
        <v/>
      </c>
      <c r="B187" s="38" t="str">
        <f aca="true">IF($D187="","",NOW())</f>
        <v/>
      </c>
      <c r="C187" s="39"/>
      <c r="D187" s="39"/>
      <c r="E187" s="39"/>
      <c r="F187" s="39"/>
      <c r="G187" s="39"/>
      <c r="H187" s="40"/>
      <c r="I187" s="39"/>
    </row>
    <row r="188" customFormat="false" ht="15" hidden="false" customHeight="false" outlineLevel="0" collapsed="false">
      <c r="A188" s="38" t="str">
        <f aca="false">IF($D188="","",ROW()-5)</f>
        <v/>
      </c>
      <c r="B188" s="38" t="str">
        <f aca="true">IF($D188="","",NOW())</f>
        <v/>
      </c>
      <c r="C188" s="39"/>
      <c r="D188" s="39"/>
      <c r="E188" s="39"/>
      <c r="F188" s="39"/>
      <c r="G188" s="39"/>
      <c r="H188" s="40"/>
      <c r="I188" s="39"/>
    </row>
    <row r="189" customFormat="false" ht="15" hidden="false" customHeight="false" outlineLevel="0" collapsed="false">
      <c r="A189" s="38" t="str">
        <f aca="false">IF($D189="","",ROW()-5)</f>
        <v/>
      </c>
      <c r="B189" s="38" t="str">
        <f aca="true">IF($D189="","",NOW())</f>
        <v/>
      </c>
      <c r="C189" s="39"/>
      <c r="D189" s="39"/>
      <c r="E189" s="39"/>
      <c r="F189" s="39"/>
      <c r="G189" s="39"/>
      <c r="H189" s="40"/>
      <c r="I189" s="39"/>
    </row>
    <row r="190" customFormat="false" ht="15" hidden="false" customHeight="false" outlineLevel="0" collapsed="false">
      <c r="A190" s="38" t="str">
        <f aca="false">IF($D190="","",ROW()-5)</f>
        <v/>
      </c>
      <c r="B190" s="38" t="str">
        <f aca="true">IF($D190="","",NOW())</f>
        <v/>
      </c>
      <c r="C190" s="39"/>
      <c r="D190" s="39"/>
      <c r="E190" s="39"/>
      <c r="F190" s="39"/>
      <c r="G190" s="39"/>
      <c r="H190" s="40"/>
      <c r="I190" s="39"/>
    </row>
    <row r="191" customFormat="false" ht="15" hidden="false" customHeight="false" outlineLevel="0" collapsed="false">
      <c r="A191" s="38" t="str">
        <f aca="false">IF($D191="","",ROW()-5)</f>
        <v/>
      </c>
      <c r="B191" s="38" t="str">
        <f aca="true">IF($D191="","",NOW())</f>
        <v/>
      </c>
      <c r="C191" s="39"/>
      <c r="D191" s="39"/>
      <c r="E191" s="39"/>
      <c r="F191" s="39"/>
      <c r="G191" s="39"/>
      <c r="H191" s="40"/>
      <c r="I191" s="39"/>
    </row>
    <row r="192" customFormat="false" ht="15" hidden="false" customHeight="false" outlineLevel="0" collapsed="false">
      <c r="A192" s="38" t="str">
        <f aca="false">IF($D192="","",ROW()-5)</f>
        <v/>
      </c>
      <c r="B192" s="38" t="str">
        <f aca="true">IF($D192="","",NOW())</f>
        <v/>
      </c>
      <c r="C192" s="39"/>
      <c r="D192" s="39"/>
      <c r="E192" s="39"/>
      <c r="F192" s="39"/>
      <c r="G192" s="39"/>
      <c r="H192" s="40"/>
      <c r="I192" s="39"/>
    </row>
    <row r="193" customFormat="false" ht="15" hidden="false" customHeight="false" outlineLevel="0" collapsed="false">
      <c r="A193" s="38" t="str">
        <f aca="false">IF($D193="","",ROW()-5)</f>
        <v/>
      </c>
      <c r="B193" s="38" t="str">
        <f aca="true">IF($D193="","",NOW())</f>
        <v/>
      </c>
      <c r="C193" s="39"/>
      <c r="D193" s="39"/>
      <c r="E193" s="39"/>
      <c r="F193" s="39"/>
      <c r="G193" s="39"/>
      <c r="H193" s="40"/>
      <c r="I193" s="39"/>
    </row>
    <row r="194" customFormat="false" ht="15" hidden="false" customHeight="false" outlineLevel="0" collapsed="false">
      <c r="A194" s="38" t="str">
        <f aca="false">IF($D194="","",ROW()-5)</f>
        <v/>
      </c>
      <c r="B194" s="38" t="str">
        <f aca="true">IF($D194="","",NOW())</f>
        <v/>
      </c>
      <c r="C194" s="39"/>
      <c r="D194" s="39"/>
      <c r="E194" s="39"/>
      <c r="F194" s="39"/>
      <c r="G194" s="39"/>
      <c r="H194" s="40"/>
      <c r="I194" s="39"/>
    </row>
    <row r="195" customFormat="false" ht="15" hidden="false" customHeight="false" outlineLevel="0" collapsed="false">
      <c r="A195" s="38" t="str">
        <f aca="false">IF($D195="","",ROW()-5)</f>
        <v/>
      </c>
      <c r="B195" s="38" t="str">
        <f aca="true">IF($D195="","",NOW())</f>
        <v/>
      </c>
      <c r="C195" s="39"/>
      <c r="D195" s="39"/>
      <c r="E195" s="39"/>
      <c r="F195" s="39"/>
      <c r="G195" s="39"/>
      <c r="H195" s="40"/>
      <c r="I195" s="39"/>
    </row>
    <row r="196" customFormat="false" ht="15" hidden="false" customHeight="false" outlineLevel="0" collapsed="false">
      <c r="A196" s="38" t="str">
        <f aca="false">IF($D196="","",ROW()-5)</f>
        <v/>
      </c>
      <c r="B196" s="38" t="str">
        <f aca="true">IF($D196="","",NOW())</f>
        <v/>
      </c>
      <c r="C196" s="39"/>
      <c r="D196" s="39"/>
      <c r="E196" s="39"/>
      <c r="F196" s="39"/>
      <c r="G196" s="39"/>
      <c r="H196" s="40"/>
      <c r="I196" s="39"/>
    </row>
    <row r="197" customFormat="false" ht="15" hidden="false" customHeight="false" outlineLevel="0" collapsed="false">
      <c r="A197" s="38" t="str">
        <f aca="false">IF($D197="","",ROW()-5)</f>
        <v/>
      </c>
      <c r="B197" s="38" t="str">
        <f aca="true">IF($D197="","",NOW())</f>
        <v/>
      </c>
      <c r="C197" s="39"/>
      <c r="D197" s="39"/>
      <c r="E197" s="39"/>
      <c r="F197" s="39"/>
      <c r="G197" s="39"/>
      <c r="H197" s="40"/>
      <c r="I197" s="39"/>
    </row>
    <row r="198" customFormat="false" ht="15" hidden="false" customHeight="false" outlineLevel="0" collapsed="false">
      <c r="A198" s="38" t="str">
        <f aca="false">IF($D198="","",ROW()-5)</f>
        <v/>
      </c>
      <c r="B198" s="38" t="str">
        <f aca="true">IF($D198="","",NOW())</f>
        <v/>
      </c>
      <c r="C198" s="39"/>
      <c r="D198" s="39"/>
      <c r="E198" s="39"/>
      <c r="F198" s="39"/>
      <c r="G198" s="39"/>
      <c r="H198" s="40"/>
      <c r="I198" s="39"/>
    </row>
    <row r="199" customFormat="false" ht="15" hidden="false" customHeight="false" outlineLevel="0" collapsed="false">
      <c r="A199" s="38" t="str">
        <f aca="false">IF($D199="","",ROW()-5)</f>
        <v/>
      </c>
      <c r="B199" s="38" t="str">
        <f aca="true">IF($D199="","",NOW())</f>
        <v/>
      </c>
      <c r="C199" s="39"/>
      <c r="D199" s="39"/>
      <c r="E199" s="39"/>
      <c r="F199" s="39"/>
      <c r="G199" s="39"/>
      <c r="H199" s="40"/>
      <c r="I199" s="39"/>
    </row>
    <row r="200" customFormat="false" ht="15" hidden="false" customHeight="false" outlineLevel="0" collapsed="false">
      <c r="A200" s="38" t="str">
        <f aca="false">IF($D200="","",ROW()-5)</f>
        <v/>
      </c>
      <c r="B200" s="38" t="str">
        <f aca="true">IF($D200="","",NOW())</f>
        <v/>
      </c>
      <c r="C200" s="39"/>
      <c r="D200" s="39"/>
      <c r="E200" s="39"/>
      <c r="F200" s="39"/>
      <c r="G200" s="39"/>
      <c r="H200" s="40"/>
      <c r="I200" s="39"/>
    </row>
    <row r="201" customFormat="false" ht="15" hidden="false" customHeight="false" outlineLevel="0" collapsed="false">
      <c r="A201" s="38" t="str">
        <f aca="false">IF($D201="","",ROW()-5)</f>
        <v/>
      </c>
      <c r="B201" s="38" t="str">
        <f aca="true">IF($D201="","",NOW())</f>
        <v/>
      </c>
      <c r="C201" s="39"/>
      <c r="D201" s="39"/>
      <c r="E201" s="39"/>
      <c r="F201" s="39"/>
      <c r="G201" s="39"/>
      <c r="H201" s="40"/>
      <c r="I201" s="39"/>
    </row>
    <row r="202" customFormat="false" ht="15" hidden="false" customHeight="false" outlineLevel="0" collapsed="false">
      <c r="A202" s="38" t="str">
        <f aca="false">IF($D202="","",ROW()-5)</f>
        <v/>
      </c>
      <c r="B202" s="38" t="str">
        <f aca="true">IF($D202="","",NOW())</f>
        <v/>
      </c>
      <c r="C202" s="39"/>
      <c r="D202" s="39"/>
      <c r="E202" s="39"/>
      <c r="F202" s="39"/>
      <c r="G202" s="39"/>
      <c r="H202" s="40"/>
      <c r="I202" s="39"/>
    </row>
    <row r="203" customFormat="false" ht="15" hidden="false" customHeight="false" outlineLevel="0" collapsed="false">
      <c r="A203" s="38" t="str">
        <f aca="false">IF($D203="","",ROW()-5)</f>
        <v/>
      </c>
      <c r="B203" s="38" t="str">
        <f aca="true">IF($D203="","",NOW())</f>
        <v/>
      </c>
      <c r="C203" s="39"/>
      <c r="D203" s="39"/>
      <c r="E203" s="39"/>
      <c r="F203" s="39"/>
      <c r="G203" s="39"/>
      <c r="H203" s="40"/>
      <c r="I203" s="39"/>
    </row>
    <row r="204" customFormat="false" ht="15" hidden="false" customHeight="false" outlineLevel="0" collapsed="false">
      <c r="A204" s="38" t="str">
        <f aca="false">IF($D204="","",ROW()-5)</f>
        <v/>
      </c>
      <c r="B204" s="38" t="str">
        <f aca="true">IF($D204="","",NOW())</f>
        <v/>
      </c>
      <c r="C204" s="39"/>
      <c r="D204" s="39"/>
      <c r="E204" s="39"/>
      <c r="F204" s="39"/>
      <c r="G204" s="39"/>
      <c r="H204" s="40"/>
      <c r="I204" s="39"/>
    </row>
    <row r="205" customFormat="false" ht="15" hidden="false" customHeight="false" outlineLevel="0" collapsed="false">
      <c r="A205" s="38" t="str">
        <f aca="false">IF($D205="","",ROW()-5)</f>
        <v/>
      </c>
      <c r="B205" s="38" t="str">
        <f aca="true">IF($D205="","",NOW())</f>
        <v/>
      </c>
      <c r="C205" s="39"/>
      <c r="D205" s="39"/>
      <c r="E205" s="39"/>
      <c r="F205" s="39"/>
      <c r="G205" s="39"/>
      <c r="H205" s="40"/>
      <c r="I205" s="39"/>
    </row>
  </sheetData>
  <sheetProtection sheet="true" password="CB7F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2026-01-21T08:33:10Z</dcterms:created>
  <dc:creator>openpyxl</dc:creator>
  <dc:description/>
  <dc:language>en-US</dc:language>
  <cp:lastModifiedBy/>
  <dcterms:modified xsi:type="dcterms:W3CDTF">2026-10-08T03:21:13Z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